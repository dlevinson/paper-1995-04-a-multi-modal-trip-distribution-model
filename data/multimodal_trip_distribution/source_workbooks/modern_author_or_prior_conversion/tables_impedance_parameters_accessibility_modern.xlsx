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levinson/Documents/Papers/~05-Published/Transportation Research Record - Journal of the Transportation Research Board/TRR-MULTIMODAL/"/>
    </mc:Choice>
  </mc:AlternateContent>
  <xr:revisionPtr revIDLastSave="0" documentId="8_{BF630B91-036C-3D46-8F39-469323BA0A1B}" xr6:coauthVersionLast="47" xr6:coauthVersionMax="47" xr10:uidLastSave="{00000000-0000-0000-0000-000000000000}"/>
  <bookViews>
    <workbookView xWindow="15000" yWindow="460" windowWidth="38160" windowHeight="23800" activeTab="4"/>
  </bookViews>
  <sheets>
    <sheet name="A" sheetId="1" r:id="rId1"/>
    <sheet name="Current" sheetId="7" r:id="rId2"/>
    <sheet name="NONW.1" sheetId="8" r:id="rId3"/>
    <sheet name="NONW.2" sheetId="9" r:id="rId4"/>
    <sheet name="WORK.1" sheetId="10" r:id="rId5"/>
  </sheets>
  <definedNames>
    <definedName name="_Fill" hidden="1">A!$K$74:$K$95</definedName>
    <definedName name="Table1">A!$A$5:$I$26</definedName>
    <definedName name="Table2">A!$A$28:$G$44</definedName>
    <definedName name="Table3">A!$A$123:$E$153</definedName>
    <definedName name="Table3_">A!$A$70:$I$92</definedName>
    <definedName name="Table4">A!$A$123:$E$153</definedName>
  </definedNames>
  <calcPr calcId="191029" iterate="1" iterateCount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4" i="1" l="1"/>
  <c r="D74" i="1"/>
  <c r="E74" i="1"/>
  <c r="F74" i="1"/>
  <c r="G74" i="1"/>
  <c r="H74" i="1"/>
  <c r="I74" i="1"/>
  <c r="L74" i="1"/>
  <c r="W74" i="1" s="1"/>
  <c r="C75" i="1"/>
  <c r="D75" i="1"/>
  <c r="E75" i="1"/>
  <c r="F75" i="1"/>
  <c r="G75" i="1"/>
  <c r="H75" i="1"/>
  <c r="I75" i="1"/>
  <c r="L75" i="1"/>
  <c r="W75" i="1"/>
  <c r="C76" i="1"/>
  <c r="D76" i="1"/>
  <c r="E76" i="1"/>
  <c r="F76" i="1"/>
  <c r="G76" i="1"/>
  <c r="H76" i="1"/>
  <c r="I76" i="1"/>
  <c r="L76" i="1"/>
  <c r="W76" i="1"/>
  <c r="C77" i="1"/>
  <c r="D77" i="1"/>
  <c r="E77" i="1"/>
  <c r="O77" i="1" s="1"/>
  <c r="F77" i="1"/>
  <c r="G77" i="1"/>
  <c r="H77" i="1"/>
  <c r="I77" i="1"/>
  <c r="L77" i="1"/>
  <c r="W77" i="1"/>
  <c r="C78" i="1"/>
  <c r="D78" i="1"/>
  <c r="E78" i="1"/>
  <c r="F78" i="1"/>
  <c r="F94" i="1" s="1"/>
  <c r="G78" i="1"/>
  <c r="H78" i="1"/>
  <c r="I78" i="1"/>
  <c r="L78" i="1"/>
  <c r="W78" i="1"/>
  <c r="C79" i="1"/>
  <c r="D79" i="1"/>
  <c r="E79" i="1"/>
  <c r="F79" i="1"/>
  <c r="G79" i="1"/>
  <c r="G94" i="1" s="1"/>
  <c r="H79" i="1"/>
  <c r="I79" i="1"/>
  <c r="L79" i="1"/>
  <c r="W79" i="1"/>
  <c r="C80" i="1"/>
  <c r="D80" i="1"/>
  <c r="E80" i="1"/>
  <c r="F80" i="1"/>
  <c r="G80" i="1"/>
  <c r="H80" i="1"/>
  <c r="H94" i="1" s="1"/>
  <c r="I80" i="1"/>
  <c r="L80" i="1"/>
  <c r="W80" i="1"/>
  <c r="C81" i="1"/>
  <c r="D81" i="1"/>
  <c r="E81" i="1"/>
  <c r="F81" i="1"/>
  <c r="G81" i="1"/>
  <c r="H81" i="1"/>
  <c r="I81" i="1"/>
  <c r="I94" i="1" s="1"/>
  <c r="L81" i="1"/>
  <c r="W81" i="1"/>
  <c r="C82" i="1"/>
  <c r="D82" i="1"/>
  <c r="E82" i="1"/>
  <c r="F82" i="1"/>
  <c r="G82" i="1"/>
  <c r="H82" i="1"/>
  <c r="I82" i="1"/>
  <c r="L82" i="1"/>
  <c r="W82" i="1"/>
  <c r="C83" i="1"/>
  <c r="D83" i="1"/>
  <c r="E83" i="1"/>
  <c r="F83" i="1"/>
  <c r="G83" i="1"/>
  <c r="H83" i="1"/>
  <c r="I83" i="1"/>
  <c r="L83" i="1"/>
  <c r="W83" i="1"/>
  <c r="C84" i="1"/>
  <c r="D84" i="1"/>
  <c r="E84" i="1"/>
  <c r="F84" i="1"/>
  <c r="G84" i="1"/>
  <c r="H84" i="1"/>
  <c r="I84" i="1"/>
  <c r="L84" i="1"/>
  <c r="W84" i="1"/>
  <c r="C85" i="1"/>
  <c r="D85" i="1"/>
  <c r="E85" i="1"/>
  <c r="O85" i="1" s="1"/>
  <c r="F85" i="1"/>
  <c r="G85" i="1"/>
  <c r="H85" i="1"/>
  <c r="I85" i="1"/>
  <c r="L85" i="1"/>
  <c r="W85" i="1"/>
  <c r="C86" i="1"/>
  <c r="D86" i="1"/>
  <c r="E86" i="1"/>
  <c r="F86" i="1"/>
  <c r="P86" i="1" s="1"/>
  <c r="G86" i="1"/>
  <c r="H86" i="1"/>
  <c r="I86" i="1"/>
  <c r="L86" i="1"/>
  <c r="W86" i="1"/>
  <c r="C87" i="1"/>
  <c r="D87" i="1"/>
  <c r="E87" i="1"/>
  <c r="F87" i="1"/>
  <c r="G87" i="1"/>
  <c r="Q87" i="1" s="1"/>
  <c r="H87" i="1"/>
  <c r="I87" i="1"/>
  <c r="L87" i="1"/>
  <c r="W87" i="1"/>
  <c r="C88" i="1"/>
  <c r="D88" i="1"/>
  <c r="E88" i="1"/>
  <c r="F88" i="1"/>
  <c r="G88" i="1"/>
  <c r="H88" i="1"/>
  <c r="I88" i="1"/>
  <c r="L88" i="1"/>
  <c r="W88" i="1"/>
  <c r="C89" i="1"/>
  <c r="D89" i="1"/>
  <c r="E89" i="1"/>
  <c r="F89" i="1"/>
  <c r="G89" i="1"/>
  <c r="H89" i="1"/>
  <c r="I89" i="1"/>
  <c r="S89" i="1" s="1"/>
  <c r="L89" i="1"/>
  <c r="W89" i="1"/>
  <c r="C90" i="1"/>
  <c r="D90" i="1"/>
  <c r="E90" i="1"/>
  <c r="F90" i="1"/>
  <c r="G90" i="1"/>
  <c r="H90" i="1"/>
  <c r="I90" i="1"/>
  <c r="L90" i="1"/>
  <c r="W90" i="1"/>
  <c r="C91" i="1"/>
  <c r="D91" i="1"/>
  <c r="E91" i="1"/>
  <c r="F91" i="1"/>
  <c r="G91" i="1"/>
  <c r="H91" i="1"/>
  <c r="I91" i="1"/>
  <c r="L91" i="1"/>
  <c r="W91" i="1"/>
  <c r="C92" i="1"/>
  <c r="D92" i="1"/>
  <c r="E92" i="1"/>
  <c r="F92" i="1"/>
  <c r="G92" i="1"/>
  <c r="H92" i="1"/>
  <c r="I92" i="1"/>
  <c r="L92" i="1"/>
  <c r="W92" i="1"/>
  <c r="E94" i="1"/>
  <c r="O76" i="1" s="1"/>
  <c r="K94" i="1"/>
  <c r="V94" i="1"/>
  <c r="C99" i="1"/>
  <c r="M99" i="1" s="1"/>
  <c r="D99" i="1"/>
  <c r="N99" i="1" s="1"/>
  <c r="E99" i="1"/>
  <c r="O99" i="1" s="1"/>
  <c r="F99" i="1"/>
  <c r="F119" i="1" s="1"/>
  <c r="L99" i="1"/>
  <c r="W99" i="1"/>
  <c r="C100" i="1"/>
  <c r="D100" i="1"/>
  <c r="N100" i="1" s="1"/>
  <c r="E100" i="1"/>
  <c r="F100" i="1"/>
  <c r="P100" i="1" s="1"/>
  <c r="L100" i="1"/>
  <c r="W100" i="1" s="1"/>
  <c r="M100" i="1"/>
  <c r="C101" i="1"/>
  <c r="D101" i="1"/>
  <c r="E101" i="1"/>
  <c r="F101" i="1"/>
  <c r="P101" i="1" s="1"/>
  <c r="L101" i="1"/>
  <c r="W101" i="1" s="1"/>
  <c r="C102" i="1"/>
  <c r="M102" i="1" s="1"/>
  <c r="D102" i="1"/>
  <c r="N102" i="1" s="1"/>
  <c r="E102" i="1"/>
  <c r="F102" i="1"/>
  <c r="L102" i="1"/>
  <c r="W102" i="1"/>
  <c r="C103" i="1"/>
  <c r="M103" i="1" s="1"/>
  <c r="D103" i="1"/>
  <c r="N103" i="1" s="1"/>
  <c r="E103" i="1"/>
  <c r="O103" i="1" s="1"/>
  <c r="F103" i="1"/>
  <c r="P103" i="1" s="1"/>
  <c r="L103" i="1"/>
  <c r="W103" i="1"/>
  <c r="C104" i="1"/>
  <c r="D104" i="1"/>
  <c r="N104" i="1" s="1"/>
  <c r="E104" i="1"/>
  <c r="O104" i="1" s="1"/>
  <c r="F104" i="1"/>
  <c r="P104" i="1" s="1"/>
  <c r="L104" i="1"/>
  <c r="W104" i="1" s="1"/>
  <c r="M104" i="1"/>
  <c r="C105" i="1"/>
  <c r="D105" i="1"/>
  <c r="E105" i="1"/>
  <c r="F105" i="1"/>
  <c r="P105" i="1" s="1"/>
  <c r="L105" i="1"/>
  <c r="W105" i="1" s="1"/>
  <c r="C106" i="1"/>
  <c r="M106" i="1" s="1"/>
  <c r="D106" i="1"/>
  <c r="N106" i="1" s="1"/>
  <c r="E106" i="1"/>
  <c r="F106" i="1"/>
  <c r="L106" i="1"/>
  <c r="W106" i="1"/>
  <c r="C107" i="1"/>
  <c r="M107" i="1" s="1"/>
  <c r="D107" i="1"/>
  <c r="N107" i="1" s="1"/>
  <c r="E107" i="1"/>
  <c r="E119" i="1" s="1"/>
  <c r="F107" i="1"/>
  <c r="P107" i="1" s="1"/>
  <c r="L107" i="1"/>
  <c r="W107" i="1"/>
  <c r="C108" i="1"/>
  <c r="D108" i="1"/>
  <c r="N108" i="1" s="1"/>
  <c r="E108" i="1"/>
  <c r="F108" i="1"/>
  <c r="P108" i="1" s="1"/>
  <c r="L108" i="1"/>
  <c r="W108" i="1" s="1"/>
  <c r="M108" i="1"/>
  <c r="C109" i="1"/>
  <c r="D109" i="1"/>
  <c r="E109" i="1"/>
  <c r="F109" i="1"/>
  <c r="P109" i="1" s="1"/>
  <c r="L109" i="1"/>
  <c r="W109" i="1" s="1"/>
  <c r="C110" i="1"/>
  <c r="M110" i="1" s="1"/>
  <c r="D110" i="1"/>
  <c r="N110" i="1" s="1"/>
  <c r="E110" i="1"/>
  <c r="F110" i="1"/>
  <c r="L110" i="1"/>
  <c r="W110" i="1"/>
  <c r="C111" i="1"/>
  <c r="M111" i="1" s="1"/>
  <c r="D111" i="1"/>
  <c r="N111" i="1" s="1"/>
  <c r="E111" i="1"/>
  <c r="O111" i="1" s="1"/>
  <c r="F111" i="1"/>
  <c r="P111" i="1" s="1"/>
  <c r="L111" i="1"/>
  <c r="W111" i="1"/>
  <c r="C112" i="1"/>
  <c r="D112" i="1"/>
  <c r="N112" i="1" s="1"/>
  <c r="E112" i="1"/>
  <c r="O112" i="1" s="1"/>
  <c r="F112" i="1"/>
  <c r="P112" i="1" s="1"/>
  <c r="L112" i="1"/>
  <c r="W112" i="1" s="1"/>
  <c r="M112" i="1"/>
  <c r="C113" i="1"/>
  <c r="D113" i="1"/>
  <c r="E113" i="1"/>
  <c r="F113" i="1"/>
  <c r="P113" i="1" s="1"/>
  <c r="L113" i="1"/>
  <c r="W113" i="1" s="1"/>
  <c r="C114" i="1"/>
  <c r="M114" i="1" s="1"/>
  <c r="D114" i="1"/>
  <c r="N114" i="1" s="1"/>
  <c r="E114" i="1"/>
  <c r="F114" i="1"/>
  <c r="L114" i="1"/>
  <c r="W114" i="1"/>
  <c r="C115" i="1"/>
  <c r="M115" i="1" s="1"/>
  <c r="D115" i="1"/>
  <c r="N115" i="1" s="1"/>
  <c r="E115" i="1"/>
  <c r="F115" i="1"/>
  <c r="P115" i="1" s="1"/>
  <c r="L115" i="1"/>
  <c r="W115" i="1"/>
  <c r="C116" i="1"/>
  <c r="D116" i="1"/>
  <c r="N116" i="1" s="1"/>
  <c r="E116" i="1"/>
  <c r="F116" i="1"/>
  <c r="P116" i="1" s="1"/>
  <c r="L116" i="1"/>
  <c r="W116" i="1" s="1"/>
  <c r="M116" i="1"/>
  <c r="C117" i="1"/>
  <c r="D117" i="1"/>
  <c r="E117" i="1"/>
  <c r="F117" i="1"/>
  <c r="P117" i="1" s="1"/>
  <c r="L117" i="1"/>
  <c r="W117" i="1" s="1"/>
  <c r="C119" i="1"/>
  <c r="M101" i="1" s="1"/>
  <c r="D119" i="1"/>
  <c r="N101" i="1" s="1"/>
  <c r="K119" i="1"/>
  <c r="V119" i="1"/>
  <c r="P77" i="1" l="1"/>
  <c r="P85" i="1"/>
  <c r="P76" i="1"/>
  <c r="P84" i="1"/>
  <c r="P92" i="1"/>
  <c r="P75" i="1"/>
  <c r="P83" i="1"/>
  <c r="P91" i="1"/>
  <c r="P74" i="1"/>
  <c r="P82" i="1"/>
  <c r="P90" i="1"/>
  <c r="P81" i="1"/>
  <c r="P89" i="1"/>
  <c r="P80" i="1"/>
  <c r="P88" i="1"/>
  <c r="P79" i="1"/>
  <c r="P87" i="1"/>
  <c r="O105" i="1"/>
  <c r="O101" i="1"/>
  <c r="O109" i="1"/>
  <c r="O117" i="1"/>
  <c r="O113" i="1"/>
  <c r="O102" i="1"/>
  <c r="O106" i="1"/>
  <c r="O110" i="1"/>
  <c r="O114" i="1"/>
  <c r="O100" i="1"/>
  <c r="S80" i="1"/>
  <c r="S88" i="1"/>
  <c r="S79" i="1"/>
  <c r="S87" i="1"/>
  <c r="S78" i="1"/>
  <c r="S86" i="1"/>
  <c r="S77" i="1"/>
  <c r="S85" i="1"/>
  <c r="S76" i="1"/>
  <c r="S84" i="1"/>
  <c r="S92" i="1"/>
  <c r="S75" i="1"/>
  <c r="S83" i="1"/>
  <c r="S91" i="1"/>
  <c r="S74" i="1"/>
  <c r="S82" i="1"/>
  <c r="S90" i="1"/>
  <c r="O115" i="1"/>
  <c r="O108" i="1"/>
  <c r="N92" i="1"/>
  <c r="N84" i="1"/>
  <c r="R79" i="1"/>
  <c r="R87" i="1"/>
  <c r="R78" i="1"/>
  <c r="R86" i="1"/>
  <c r="R77" i="1"/>
  <c r="R85" i="1"/>
  <c r="R88" i="1"/>
  <c r="R76" i="1"/>
  <c r="R84" i="1"/>
  <c r="R92" i="1"/>
  <c r="R75" i="1"/>
  <c r="R83" i="1"/>
  <c r="R91" i="1"/>
  <c r="R74" i="1"/>
  <c r="R82" i="1"/>
  <c r="R90" i="1"/>
  <c r="R81" i="1"/>
  <c r="R89" i="1"/>
  <c r="O116" i="1"/>
  <c r="P102" i="1"/>
  <c r="P106" i="1"/>
  <c r="P110" i="1"/>
  <c r="P114" i="1"/>
  <c r="Q78" i="1"/>
  <c r="Q86" i="1"/>
  <c r="Q77" i="1"/>
  <c r="Q85" i="1"/>
  <c r="Q76" i="1"/>
  <c r="Q84" i="1"/>
  <c r="Q92" i="1"/>
  <c r="Q75" i="1"/>
  <c r="Q83" i="1"/>
  <c r="Q91" i="1"/>
  <c r="Q74" i="1"/>
  <c r="Q82" i="1"/>
  <c r="Q90" i="1"/>
  <c r="Q81" i="1"/>
  <c r="Q89" i="1"/>
  <c r="Q80" i="1"/>
  <c r="Q88" i="1"/>
  <c r="M75" i="1"/>
  <c r="S81" i="1"/>
  <c r="N117" i="1"/>
  <c r="N113" i="1"/>
  <c r="N109" i="1"/>
  <c r="N105" i="1"/>
  <c r="N119" i="1" s="1"/>
  <c r="D94" i="1"/>
  <c r="O86" i="1"/>
  <c r="O78" i="1"/>
  <c r="P78" i="1"/>
  <c r="M117" i="1"/>
  <c r="M113" i="1"/>
  <c r="M109" i="1"/>
  <c r="M105" i="1"/>
  <c r="M119" i="1" s="1"/>
  <c r="C94" i="1"/>
  <c r="O87" i="1"/>
  <c r="O79" i="1"/>
  <c r="P99" i="1"/>
  <c r="O88" i="1"/>
  <c r="O80" i="1"/>
  <c r="R80" i="1"/>
  <c r="Q79" i="1"/>
  <c r="O107" i="1"/>
  <c r="O89" i="1"/>
  <c r="O81" i="1"/>
  <c r="O90" i="1"/>
  <c r="O82" i="1"/>
  <c r="O74" i="1"/>
  <c r="O91" i="1"/>
  <c r="O83" i="1"/>
  <c r="O75" i="1"/>
  <c r="O92" i="1"/>
  <c r="O84" i="1"/>
  <c r="Y101" i="1" l="1"/>
  <c r="Y104" i="1"/>
  <c r="Y110" i="1"/>
  <c r="Y100" i="1"/>
  <c r="Y102" i="1"/>
  <c r="Y99" i="1"/>
  <c r="Y114" i="1"/>
  <c r="Y115" i="1"/>
  <c r="Y108" i="1"/>
  <c r="Y116" i="1"/>
  <c r="Y111" i="1"/>
  <c r="Y103" i="1"/>
  <c r="Y106" i="1"/>
  <c r="Y107" i="1"/>
  <c r="Y112" i="1"/>
  <c r="X104" i="1"/>
  <c r="X102" i="1"/>
  <c r="X99" i="1"/>
  <c r="X101" i="1"/>
  <c r="X116" i="1"/>
  <c r="X114" i="1"/>
  <c r="X111" i="1"/>
  <c r="X106" i="1"/>
  <c r="X110" i="1"/>
  <c r="X100" i="1"/>
  <c r="X108" i="1"/>
  <c r="X115" i="1"/>
  <c r="X107" i="1"/>
  <c r="X112" i="1"/>
  <c r="X103" i="1"/>
  <c r="Z82" i="1"/>
  <c r="Z88" i="1"/>
  <c r="X117" i="1"/>
  <c r="Y117" i="1"/>
  <c r="AB85" i="1"/>
  <c r="AA90" i="1"/>
  <c r="AA76" i="1"/>
  <c r="Z90" i="1"/>
  <c r="AA99" i="1"/>
  <c r="P119" i="1"/>
  <c r="Q94" i="1"/>
  <c r="AB87" i="1" s="1"/>
  <c r="AB74" i="1"/>
  <c r="AB77" i="1"/>
  <c r="AA82" i="1"/>
  <c r="AA85" i="1"/>
  <c r="Z84" i="1"/>
  <c r="P94" i="1"/>
  <c r="AA86" i="1" s="1"/>
  <c r="AA74" i="1"/>
  <c r="AA77" i="1"/>
  <c r="Z79" i="1"/>
  <c r="Z92" i="1"/>
  <c r="Z89" i="1"/>
  <c r="AB88" i="1"/>
  <c r="AB83" i="1"/>
  <c r="AB78" i="1"/>
  <c r="R94" i="1"/>
  <c r="AC85" i="1" s="1"/>
  <c r="Z109" i="1"/>
  <c r="AA79" i="1"/>
  <c r="AA91" i="1"/>
  <c r="O119" i="1"/>
  <c r="M74" i="1"/>
  <c r="M82" i="1"/>
  <c r="M90" i="1"/>
  <c r="M81" i="1"/>
  <c r="M89" i="1"/>
  <c r="M80" i="1"/>
  <c r="M88" i="1"/>
  <c r="M79" i="1"/>
  <c r="M87" i="1"/>
  <c r="M78" i="1"/>
  <c r="M86" i="1"/>
  <c r="M77" i="1"/>
  <c r="M85" i="1"/>
  <c r="M76" i="1"/>
  <c r="M84" i="1"/>
  <c r="M92" i="1"/>
  <c r="N75" i="1"/>
  <c r="N83" i="1"/>
  <c r="N91" i="1"/>
  <c r="N74" i="1"/>
  <c r="N82" i="1"/>
  <c r="N90" i="1"/>
  <c r="N81" i="1"/>
  <c r="N89" i="1"/>
  <c r="N80" i="1"/>
  <c r="N88" i="1"/>
  <c r="N79" i="1"/>
  <c r="N87" i="1"/>
  <c r="N78" i="1"/>
  <c r="N86" i="1"/>
  <c r="N77" i="1"/>
  <c r="N85" i="1"/>
  <c r="AB80" i="1"/>
  <c r="AB75" i="1"/>
  <c r="M83" i="1"/>
  <c r="AC91" i="1"/>
  <c r="AC77" i="1"/>
  <c r="AA88" i="1"/>
  <c r="AA83" i="1"/>
  <c r="Z81" i="1"/>
  <c r="Z83" i="1"/>
  <c r="AB79" i="1"/>
  <c r="X105" i="1"/>
  <c r="Y105" i="1"/>
  <c r="AB89" i="1"/>
  <c r="AB92" i="1"/>
  <c r="AC83" i="1"/>
  <c r="AC86" i="1"/>
  <c r="S94" i="1"/>
  <c r="AD89" i="1" s="1"/>
  <c r="AA80" i="1"/>
  <c r="AA75" i="1"/>
  <c r="Z91" i="1"/>
  <c r="AC80" i="1"/>
  <c r="X109" i="1"/>
  <c r="Y109" i="1"/>
  <c r="AB81" i="1"/>
  <c r="AB84" i="1"/>
  <c r="M91" i="1"/>
  <c r="N76" i="1"/>
  <c r="AC75" i="1"/>
  <c r="AC78" i="1"/>
  <c r="AA89" i="1"/>
  <c r="AA92" i="1"/>
  <c r="AB86" i="1"/>
  <c r="Z74" i="1"/>
  <c r="O94" i="1"/>
  <c r="Z86" i="1" s="1"/>
  <c r="Z80" i="1"/>
  <c r="X113" i="1"/>
  <c r="Y113" i="1"/>
  <c r="AB90" i="1"/>
  <c r="AB76" i="1"/>
  <c r="AA114" i="1"/>
  <c r="AC89" i="1"/>
  <c r="Z106" i="1"/>
  <c r="AA81" i="1"/>
  <c r="AA84" i="1"/>
  <c r="AD74" i="1" l="1"/>
  <c r="Z112" i="1"/>
  <c r="Z99" i="1"/>
  <c r="Z111" i="1"/>
  <c r="Z103" i="1"/>
  <c r="Z104" i="1"/>
  <c r="AC74" i="1"/>
  <c r="AD88" i="1"/>
  <c r="AC76" i="1"/>
  <c r="AA111" i="1"/>
  <c r="AA101" i="1"/>
  <c r="AA119" i="1" s="1"/>
  <c r="AA103" i="1"/>
  <c r="AA100" i="1"/>
  <c r="AA116" i="1"/>
  <c r="AA117" i="1"/>
  <c r="AA112" i="1"/>
  <c r="AA109" i="1"/>
  <c r="AA104" i="1"/>
  <c r="AA108" i="1"/>
  <c r="AA107" i="1"/>
  <c r="AA115" i="1"/>
  <c r="AA113" i="1"/>
  <c r="AA105" i="1"/>
  <c r="AC79" i="1"/>
  <c r="N94" i="1"/>
  <c r="Y87" i="1" s="1"/>
  <c r="AD84" i="1"/>
  <c r="AC90" i="1"/>
  <c r="AC84" i="1"/>
  <c r="X83" i="1"/>
  <c r="Z116" i="1"/>
  <c r="Z108" i="1"/>
  <c r="AA106" i="1"/>
  <c r="AC81" i="1"/>
  <c r="Y119" i="1"/>
  <c r="Z113" i="1"/>
  <c r="AA110" i="1"/>
  <c r="X91" i="1"/>
  <c r="AD78" i="1"/>
  <c r="Z110" i="1"/>
  <c r="M94" i="1"/>
  <c r="X75" i="1" s="1"/>
  <c r="AD80" i="1"/>
  <c r="AA94" i="1"/>
  <c r="AC88" i="1"/>
  <c r="Z100" i="1"/>
  <c r="AD83" i="1"/>
  <c r="AD86" i="1"/>
  <c r="Z105" i="1"/>
  <c r="Z101" i="1"/>
  <c r="Z107" i="1"/>
  <c r="AD76" i="1"/>
  <c r="AC82" i="1"/>
  <c r="AD79" i="1"/>
  <c r="Z102" i="1"/>
  <c r="AB82" i="1"/>
  <c r="AC87" i="1"/>
  <c r="Z114" i="1"/>
  <c r="AD85" i="1"/>
  <c r="X84" i="1"/>
  <c r="Z75" i="1"/>
  <c r="Z94" i="1" s="1"/>
  <c r="AD90" i="1"/>
  <c r="AA87" i="1"/>
  <c r="AA102" i="1"/>
  <c r="AD92" i="1"/>
  <c r="AD81" i="1"/>
  <c r="AD87" i="1"/>
  <c r="X119" i="1"/>
  <c r="AD91" i="1"/>
  <c r="AC92" i="1"/>
  <c r="Z85" i="1"/>
  <c r="Z76" i="1"/>
  <c r="Z77" i="1"/>
  <c r="Z115" i="1"/>
  <c r="AD77" i="1"/>
  <c r="AD82" i="1"/>
  <c r="X80" i="1"/>
  <c r="AB91" i="1"/>
  <c r="AB94" i="1" s="1"/>
  <c r="Z87" i="1"/>
  <c r="Z117" i="1"/>
  <c r="Z78" i="1"/>
  <c r="AA78" i="1"/>
  <c r="AD75" i="1"/>
  <c r="Y85" i="1" l="1"/>
  <c r="Z119" i="1"/>
  <c r="Y76" i="1"/>
  <c r="X89" i="1"/>
  <c r="X85" i="1"/>
  <c r="Y84" i="1"/>
  <c r="Y92" i="1"/>
  <c r="X76" i="1"/>
  <c r="X74" i="1"/>
  <c r="AC94" i="1"/>
  <c r="Y82" i="1"/>
  <c r="Y81" i="1"/>
  <c r="Y74" i="1"/>
  <c r="X90" i="1"/>
  <c r="Y90" i="1"/>
  <c r="X79" i="1"/>
  <c r="Y83" i="1"/>
  <c r="X87" i="1"/>
  <c r="X82" i="1"/>
  <c r="X86" i="1"/>
  <c r="Y78" i="1"/>
  <c r="Y77" i="1"/>
  <c r="Y86" i="1"/>
  <c r="Y88" i="1"/>
  <c r="X92" i="1"/>
  <c r="Y75" i="1"/>
  <c r="X78" i="1"/>
  <c r="Y91" i="1"/>
  <c r="X81" i="1"/>
  <c r="AD94" i="1"/>
  <c r="X88" i="1"/>
  <c r="Y89" i="1"/>
  <c r="Y80" i="1"/>
  <c r="Y79" i="1"/>
  <c r="X77" i="1"/>
  <c r="Y94" i="1" l="1"/>
  <c r="X94" i="1"/>
</calcChain>
</file>

<file path=xl/sharedStrings.xml><?xml version="1.0" encoding="utf-8"?>
<sst xmlns="http://schemas.openxmlformats.org/spreadsheetml/2006/main" count="292" uniqueCount="98">
  <si>
    <t>TRAVEL/2 Multimodal Spatial Trip Distribution Model</t>
  </si>
  <si>
    <t>TABLE 1:</t>
  </si>
  <si>
    <t>Multimodal Spatial Trip Distribution Impedance Function (Work Trips)</t>
  </si>
  <si>
    <t>MODES:</t>
  </si>
  <si>
    <t>Auto Drive</t>
  </si>
  <si>
    <t>Auto Pass.</t>
  </si>
  <si>
    <t>Walk to</t>
  </si>
  <si>
    <t>to Transit</t>
  </si>
  <si>
    <t>Transit</t>
  </si>
  <si>
    <t>Auto-1</t>
  </si>
  <si>
    <t>Auto-2</t>
  </si>
  <si>
    <t>Auto-3+</t>
  </si>
  <si>
    <t>Walk</t>
  </si>
  <si>
    <t>VARIABLE:</t>
  </si>
  <si>
    <t>|</t>
  </si>
  <si>
    <t>-</t>
  </si>
  <si>
    <t>TIME</t>
  </si>
  <si>
    <t>(2.3)</t>
  </si>
  <si>
    <t>(-3.8)</t>
  </si>
  <si>
    <t>(-7.9)</t>
  </si>
  <si>
    <t>(-17.2)</t>
  </si>
  <si>
    <t>(-16.4)</t>
  </si>
  <si>
    <t>(-10.6)</t>
  </si>
  <si>
    <t>(-11.6)</t>
  </si>
  <si>
    <t>TIME^0.5</t>
  </si>
  <si>
    <t>(2.1)</t>
  </si>
  <si>
    <t>TIME^2.0</t>
  </si>
  <si>
    <t>(-4.6)</t>
  </si>
  <si>
    <t>CONSTANT</t>
  </si>
  <si>
    <t>r-squared</t>
  </si>
  <si>
    <t>(T-statisitic in parentheses)</t>
  </si>
  <si>
    <t>TABLE 2:</t>
  </si>
  <si>
    <t>Multimodal Spatial Trip Distribution Impedance Function</t>
  </si>
  <si>
    <t>(Non-Work Trips)</t>
  </si>
  <si>
    <t>MODE:</t>
  </si>
  <si>
    <t>Auto-2+</t>
  </si>
  <si>
    <t>(-6.7)</t>
  </si>
  <si>
    <t>(-8.4)</t>
  </si>
  <si>
    <t>(-15.3)</t>
  </si>
  <si>
    <t>(-11.1)</t>
  </si>
  <si>
    <t>(2.7)</t>
  </si>
  <si>
    <t>(3.7)</t>
  </si>
  <si>
    <t>from: MWCOG 1987-88 Household Travel Survey</t>
  </si>
  <si>
    <t>TABLE 3:</t>
  </si>
  <si>
    <t>ADT</t>
  </si>
  <si>
    <t>Auto Drive to Transit (Park and Ride)</t>
  </si>
  <si>
    <t>APT</t>
  </si>
  <si>
    <t>Auto Passenger to Transit (Kiss and Ride)</t>
  </si>
  <si>
    <t>WCT</t>
  </si>
  <si>
    <t xml:space="preserve">Walk Connect Transit </t>
  </si>
  <si>
    <t>AU1</t>
  </si>
  <si>
    <t>Auto 1 (Drive Alone)</t>
  </si>
  <si>
    <t>AU2</t>
  </si>
  <si>
    <t>Auto 2 (Driver with 1 Passenger)</t>
  </si>
  <si>
    <t>AU2+</t>
  </si>
  <si>
    <t>Auto 2+ (Driver with 1 or more Passengers)</t>
  </si>
  <si>
    <t>AU3+</t>
  </si>
  <si>
    <t>Auto 3+ (Driver with 2 or more Passengers)</t>
  </si>
  <si>
    <t>WALK</t>
  </si>
  <si>
    <t>Evaluation of Impedance Functions (Work Trips)</t>
  </si>
  <si>
    <t>WORK TRIPS</t>
  </si>
  <si>
    <t>OPPORTUNITIES</t>
  </si>
  <si>
    <t>SUM</t>
  </si>
  <si>
    <t>NONWORK TRIPS</t>
  </si>
  <si>
    <t xml:space="preserve">Table 4: </t>
  </si>
  <si>
    <t>Multi-modal Accessibility</t>
  </si>
  <si>
    <t>Benefit by HOV Alignment</t>
  </si>
  <si>
    <t>Access</t>
  </si>
  <si>
    <t>Access to</t>
  </si>
  <si>
    <t>to Jobs</t>
  </si>
  <si>
    <t>Houses</t>
  </si>
  <si>
    <t>Full-Network</t>
  </si>
  <si>
    <t>1) I-495</t>
  </si>
  <si>
    <t>East Leg</t>
  </si>
  <si>
    <t>362/mile</t>
  </si>
  <si>
    <t>313/mile</t>
  </si>
  <si>
    <t>2) I-495</t>
  </si>
  <si>
    <t>West Leg</t>
  </si>
  <si>
    <t>1172/mile</t>
  </si>
  <si>
    <t>900/mile</t>
  </si>
  <si>
    <t>3) I-95</t>
  </si>
  <si>
    <t>67/mile</t>
  </si>
  <si>
    <t>35/mile</t>
  </si>
  <si>
    <t>4) U.S. 29</t>
  </si>
  <si>
    <t>-2.5/mile</t>
  </si>
  <si>
    <t>25/mile</t>
  </si>
  <si>
    <t xml:space="preserve">5) Clara </t>
  </si>
  <si>
    <t>Baton Pkwy.</t>
  </si>
  <si>
    <t>208/mile</t>
  </si>
  <si>
    <t>-18/mile</t>
  </si>
  <si>
    <t>6) ICC</t>
  </si>
  <si>
    <t>15/mile</t>
  </si>
  <si>
    <t>48/mile</t>
  </si>
  <si>
    <t>7) M-83</t>
  </si>
  <si>
    <t>107/mile</t>
  </si>
  <si>
    <t>210/mile</t>
  </si>
  <si>
    <t>8) MD 27</t>
  </si>
  <si>
    <t>184/mile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</si>
</sst>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)"/>
    <numFmt numFmtId="165" formatCode="0.000_);[Red]\-0.000_)"/>
  </numFmts>
  <fonts count="2" x14ac:knownFonts="1">
    <font>
      <sz val="9"/>
      <name val="Geneva"/>
    </font>
    <font>
      <sz val="9"/>
      <color indexed="8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Protection="1"/>
    <xf numFmtId="165" fontId="0" fillId="0" borderId="0" xfId="0" applyNumberFormat="1" applyProtection="1"/>
    <xf numFmtId="0" fontId="0" fillId="0" borderId="0" xfId="0" applyAlignment="1">
      <alignment horizontal="right"/>
    </xf>
    <xf numFmtId="0" fontId="0" fillId="0" borderId="0" xfId="0" applyAlignment="1">
      <alignment horizontal="fill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4.xml"/><Relationship Id="rId4" Type="http://schemas.openxmlformats.org/officeDocument/2006/relationships/chartsheet" Target="chart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TRIP DISTRIBUTION MODEL
OPPORTUNITIES PER TIME RING</a:t>
            </a:r>
          </a:p>
        </c:rich>
      </c:tx>
      <c:layout>
        <c:manualLayout>
          <c:xMode val="edge"/>
          <c:yMode val="edge"/>
          <c:x val="0.4068965517241379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965517241379309E-2"/>
          <c:y val="0.15158371040723981"/>
          <c:w val="0.92"/>
          <c:h val="0.72850678733031671"/>
        </c:manualLayout>
      </c:layout>
      <c:lineChart>
        <c:grouping val="standard"/>
        <c:varyColors val="0"/>
        <c:ser>
          <c:idx val="0"/>
          <c:order val="0"/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A!$W$74:$W$92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A!$V$74:$V$92</c:f>
              <c:numCache>
                <c:formatCode>General</c:formatCode>
                <c:ptCount val="1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0D-B948-95BC-4C8709B9D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741952"/>
        <c:axId val="1"/>
      </c:lineChart>
      <c:catAx>
        <c:axId val="126074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 (in 5 minute cohorts)</a:t>
                </a:r>
              </a:p>
            </c:rich>
          </c:tx>
          <c:layout>
            <c:manualLayout>
              <c:xMode val="edge"/>
              <c:yMode val="edge"/>
              <c:x val="0.44689655172413795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OPPORTUNITIES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26074195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TRIP DISTRIBUTION MODEL
NONWORK TRIPS</a:t>
            </a:r>
          </a:p>
        </c:rich>
      </c:tx>
      <c:layout>
        <c:manualLayout>
          <c:xMode val="edge"/>
          <c:yMode val="edge"/>
          <c:x val="0.3724137931034483"/>
          <c:y val="2.94117647058823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2068965517241E-2"/>
          <c:y val="0.18778280542986425"/>
          <c:w val="0.83448275862068966"/>
          <c:h val="0.67420814479638014"/>
        </c:manualLayout>
      </c:layout>
      <c:lineChart>
        <c:grouping val="standard"/>
        <c:varyColors val="0"/>
        <c:ser>
          <c:idx val="0"/>
          <c:order val="0"/>
          <c:tx>
            <c:strRef>
              <c:f>A!$C$97</c:f>
              <c:strCache>
                <c:ptCount val="1"/>
                <c:pt idx="0">
                  <c:v>AU1</c:v>
                </c:pt>
              </c:strCache>
            </c:strRef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A!$A$99:$A$111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A!$C$99:$C$111</c:f>
              <c:numCache>
                <c:formatCode>General</c:formatCode>
                <c:ptCount val="13"/>
                <c:pt idx="0">
                  <c:v>0.67705687449816465</c:v>
                </c:pt>
                <c:pt idx="1">
                  <c:v>0.3155541434990724</c:v>
                </c:pt>
                <c:pt idx="2">
                  <c:v>0.15202656555785687</c:v>
                </c:pt>
                <c:pt idx="3">
                  <c:v>7.5711516249277466E-2</c:v>
                </c:pt>
                <c:pt idx="4">
                  <c:v>3.8976358849579971E-2</c:v>
                </c:pt>
                <c:pt idx="5">
                  <c:v>2.0741370465265935E-2</c:v>
                </c:pt>
                <c:pt idx="6">
                  <c:v>1.1409601970326684E-2</c:v>
                </c:pt>
                <c:pt idx="7">
                  <c:v>6.4878440444270614E-3</c:v>
                </c:pt>
                <c:pt idx="8">
                  <c:v>3.8135300366170782E-3</c:v>
                </c:pt>
                <c:pt idx="9">
                  <c:v>2.3171321504618773E-3</c:v>
                </c:pt>
                <c:pt idx="10">
                  <c:v>1.4553628907585517E-3</c:v>
                </c:pt>
                <c:pt idx="11">
                  <c:v>9.4490610046010651E-4</c:v>
                </c:pt>
                <c:pt idx="12">
                  <c:v>6.3416587833238101E-4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80-E346-8ABA-662279487437}"/>
            </c:ext>
          </c:extLst>
        </c:ser>
        <c:ser>
          <c:idx val="1"/>
          <c:order val="1"/>
          <c:tx>
            <c:strRef>
              <c:f>A!$D$97</c:f>
              <c:strCache>
                <c:ptCount val="1"/>
                <c:pt idx="0">
                  <c:v>AU2+</c:v>
                </c:pt>
              </c:strCache>
            </c:strRef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A!$A$99:$A$111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A!$D$99:$D$111</c:f>
              <c:numCache>
                <c:formatCode>General</c:formatCode>
                <c:ptCount val="13"/>
                <c:pt idx="0">
                  <c:v>0.69767632607103103</c:v>
                </c:pt>
                <c:pt idx="1">
                  <c:v>0.31948338808194371</c:v>
                </c:pt>
                <c:pt idx="2">
                  <c:v>0.15195057127523184</c:v>
                </c:pt>
                <c:pt idx="3">
                  <c:v>7.5061312456235499E-2</c:v>
                </c:pt>
                <c:pt idx="4">
                  <c:v>3.8511437649625745E-2</c:v>
                </c:pt>
                <c:pt idx="5">
                  <c:v>2.0522160021783267E-2</c:v>
                </c:pt>
                <c:pt idx="6">
                  <c:v>1.1358374110591591E-2</c:v>
                </c:pt>
                <c:pt idx="7">
                  <c:v>6.5293361658251862E-3</c:v>
                </c:pt>
                <c:pt idx="8">
                  <c:v>3.8983573768231251E-3</c:v>
                </c:pt>
                <c:pt idx="9">
                  <c:v>2.4174306928080244E-3</c:v>
                </c:pt>
                <c:pt idx="10">
                  <c:v>1.5569912592293745E-3</c:v>
                </c:pt>
                <c:pt idx="11">
                  <c:v>1.0415450950759101E-3</c:v>
                </c:pt>
                <c:pt idx="12">
                  <c:v>7.2365195956049287E-4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80-E346-8ABA-662279487437}"/>
            </c:ext>
          </c:extLst>
        </c:ser>
        <c:ser>
          <c:idx val="2"/>
          <c:order val="2"/>
          <c:tx>
            <c:strRef>
              <c:f>A!$E$97</c:f>
              <c:strCache>
                <c:ptCount val="1"/>
                <c:pt idx="0">
                  <c:v>WCT</c:v>
                </c:pt>
              </c:strCache>
            </c:strRef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A!$A$99:$A$111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A!$E$99:$E$111</c:f>
              <c:numCache>
                <c:formatCode>General</c:formatCode>
                <c:ptCount val="13"/>
                <c:pt idx="0">
                  <c:v>0.26713530196585034</c:v>
                </c:pt>
                <c:pt idx="1">
                  <c:v>0.19301256279376172</c:v>
                </c:pt>
                <c:pt idx="2">
                  <c:v>0.13945685621505091</c:v>
                </c:pt>
                <c:pt idx="3">
                  <c:v>0.10076139326830373</c:v>
                </c:pt>
                <c:pt idx="4">
                  <c:v>7.2802862827435588E-2</c:v>
                </c:pt>
                <c:pt idx="5">
                  <c:v>5.2602059816273812E-2</c:v>
                </c:pt>
                <c:pt idx="6">
                  <c:v>3.80064270751743E-2</c:v>
                </c:pt>
                <c:pt idx="7">
                  <c:v>2.7460683176016108E-2</c:v>
                </c:pt>
                <c:pt idx="8">
                  <c:v>1.9841094744370288E-2</c:v>
                </c:pt>
                <c:pt idx="9">
                  <c:v>1.4335733679011489E-2</c:v>
                </c:pt>
                <c:pt idx="10">
                  <c:v>1.0357959717613696E-2</c:v>
                </c:pt>
                <c:pt idx="11">
                  <c:v>7.4839092238986084E-3</c:v>
                </c:pt>
                <c:pt idx="12">
                  <c:v>5.4073291264409547E-3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0-E346-8ABA-662279487437}"/>
            </c:ext>
          </c:extLst>
        </c:ser>
        <c:ser>
          <c:idx val="3"/>
          <c:order val="3"/>
          <c:tx>
            <c:strRef>
              <c:f>A!$F$97</c:f>
              <c:strCache>
                <c:ptCount val="1"/>
                <c:pt idx="0">
                  <c:v>WALK</c:v>
                </c:pt>
              </c:strCache>
            </c:strRef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A!$A$99:$A$111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A!$F$99:$F$111</c:f>
              <c:numCache>
                <c:formatCode>General</c:formatCode>
                <c:ptCount val="13"/>
                <c:pt idx="0">
                  <c:v>0.83027359498193265</c:v>
                </c:pt>
                <c:pt idx="1">
                  <c:v>0.32922956683868165</c:v>
                </c:pt>
                <c:pt idx="2">
                  <c:v>0.13054986733998764</c:v>
                </c:pt>
                <c:pt idx="3">
                  <c:v>5.1767124156377374E-2</c:v>
                </c:pt>
                <c:pt idx="4">
                  <c:v>2.0527291203159659E-2</c:v>
                </c:pt>
                <c:pt idx="5">
                  <c:v>8.1397159105545177E-3</c:v>
                </c:pt>
                <c:pt idx="6">
                  <c:v>3.2276531008794815E-3</c:v>
                </c:pt>
                <c:pt idx="7">
                  <c:v>1.279865864373542E-3</c:v>
                </c:pt>
                <c:pt idx="8">
                  <c:v>5.0750702742568263E-4</c:v>
                </c:pt>
                <c:pt idx="9">
                  <c:v>2.0124248177563747E-4</c:v>
                </c:pt>
                <c:pt idx="10">
                  <c:v>7.9798966876666862E-5</c:v>
                </c:pt>
                <c:pt idx="11">
                  <c:v>3.164279757632304E-5</c:v>
                </c:pt>
                <c:pt idx="12">
                  <c:v>1.2547363426442132E-5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80-E346-8ABA-662279487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765936"/>
        <c:axId val="1"/>
      </c:lineChart>
      <c:catAx>
        <c:axId val="126076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 (in 5 minute cohorts)</a:t>
                </a:r>
              </a:p>
            </c:rich>
          </c:tx>
          <c:layout>
            <c:manualLayout>
              <c:xMode val="edge"/>
              <c:yMode val="edge"/>
              <c:x val="0.38620689655172413"/>
              <c:y val="0.929864253393665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Relative Probability per Opportunity</a:t>
                </a:r>
              </a:p>
            </c:rich>
          </c:tx>
          <c:layout>
            <c:manualLayout>
              <c:xMode val="edge"/>
              <c:yMode val="edge"/>
              <c:x val="4.1379310344827587E-3"/>
              <c:y val="0.287330316742081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26076593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724137931034478"/>
          <c:y val="0.19909502262443438"/>
          <c:w val="8.9655172413793102E-2"/>
          <c:h val="0.1742081447963800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TRIP DISTRIBUTION MODEL
NONWORK TRIPS</a:t>
            </a:r>
          </a:p>
        </c:rich>
      </c:tx>
      <c:layout>
        <c:manualLayout>
          <c:xMode val="edge"/>
          <c:yMode val="edge"/>
          <c:x val="0.41931034482758622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37931034482758E-2"/>
          <c:y val="0.15158371040723981"/>
          <c:w val="0.82620689655172419"/>
          <c:h val="0.72850678733031671"/>
        </c:manualLayout>
      </c:layout>
      <c:lineChart>
        <c:grouping val="standard"/>
        <c:varyColors val="0"/>
        <c:ser>
          <c:idx val="0"/>
          <c:order val="0"/>
          <c:tx>
            <c:strRef>
              <c:f>A!$C$97</c:f>
              <c:strCache>
                <c:ptCount val="1"/>
                <c:pt idx="0">
                  <c:v>AU1</c:v>
                </c:pt>
              </c:strCache>
            </c:strRef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A!$W$99:$W$117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A!$X$99:$X$117</c:f>
              <c:numCache>
                <c:formatCode>General</c:formatCode>
                <c:ptCount val="19"/>
                <c:pt idx="0">
                  <c:v>0.17102197861926322</c:v>
                </c:pt>
                <c:pt idx="1">
                  <c:v>0.23912331156545064</c:v>
                </c:pt>
                <c:pt idx="2">
                  <c:v>0.19200664688374194</c:v>
                </c:pt>
                <c:pt idx="3">
                  <c:v>0.13387107731487516</c:v>
                </c:pt>
                <c:pt idx="4">
                  <c:v>8.8607513413009431E-2</c:v>
                </c:pt>
                <c:pt idx="5">
                  <c:v>5.7631099909613265E-2</c:v>
                </c:pt>
                <c:pt idx="6">
                  <c:v>3.7466284015958896E-2</c:v>
                </c:pt>
                <c:pt idx="7">
                  <c:v>2.4582069112145027E-2</c:v>
                </c:pt>
                <c:pt idx="8">
                  <c:v>1.6375812886892421E-2</c:v>
                </c:pt>
                <c:pt idx="9">
                  <c:v>1.1120675766526145E-2</c:v>
                </c:pt>
                <c:pt idx="10">
                  <c:v>7.7200011724159962E-3</c:v>
                </c:pt>
                <c:pt idx="11">
                  <c:v>5.489632394157706E-3</c:v>
                </c:pt>
                <c:pt idx="12">
                  <c:v>4.0046969231947718E-3</c:v>
                </c:pt>
                <c:pt idx="13">
                  <c:v>3.0005750216517534E-3</c:v>
                </c:pt>
                <c:pt idx="14">
                  <c:v>2.3112486235305784E-3</c:v>
                </c:pt>
                <c:pt idx="15">
                  <c:v>1.8315347611541238E-3</c:v>
                </c:pt>
                <c:pt idx="16">
                  <c:v>1.4940635754397236E-3</c:v>
                </c:pt>
                <c:pt idx="17">
                  <c:v>1.2552253769278058E-3</c:v>
                </c:pt>
                <c:pt idx="18">
                  <c:v>1.0865526640513477E-3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6-9844-8038-7111BCB8E817}"/>
            </c:ext>
          </c:extLst>
        </c:ser>
        <c:ser>
          <c:idx val="1"/>
          <c:order val="1"/>
          <c:tx>
            <c:strRef>
              <c:f>A!$D$97</c:f>
              <c:strCache>
                <c:ptCount val="1"/>
                <c:pt idx="0">
                  <c:v>AU2+</c:v>
                </c:pt>
              </c:strCache>
            </c:strRef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A!$W$99:$W$117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A!$Y$99:$Y$117</c:f>
              <c:numCache>
                <c:formatCode>General</c:formatCode>
                <c:ptCount val="19"/>
                <c:pt idx="0">
                  <c:v>0.17428221926932394</c:v>
                </c:pt>
                <c:pt idx="1">
                  <c:v>0.23942452315173571</c:v>
                </c:pt>
                <c:pt idx="2">
                  <c:v>0.18978917437419829</c:v>
                </c:pt>
                <c:pt idx="3">
                  <c:v>0.13125422404495202</c:v>
                </c:pt>
                <c:pt idx="4">
                  <c:v>8.6582742068433999E-2</c:v>
                </c:pt>
                <c:pt idx="5">
                  <c:v>5.6391656202989575E-2</c:v>
                </c:pt>
                <c:pt idx="6">
                  <c:v>3.6885749814143373E-2</c:v>
                </c:pt>
                <c:pt idx="7">
                  <c:v>2.4465797852361477E-2</c:v>
                </c:pt>
                <c:pt idx="8">
                  <c:v>1.6555018345519357E-2</c:v>
                </c:pt>
                <c:pt idx="9">
                  <c:v>1.1473785530971104E-2</c:v>
                </c:pt>
                <c:pt idx="10">
                  <c:v>8.1677900194222167E-3</c:v>
                </c:pt>
                <c:pt idx="11">
                  <c:v>5.9841849704239999E-3</c:v>
                </c:pt>
                <c:pt idx="12">
                  <c:v>4.5192758008947191E-3</c:v>
                </c:pt>
                <c:pt idx="13">
                  <c:v>3.5221190140131693E-3</c:v>
                </c:pt>
                <c:pt idx="14">
                  <c:v>2.8353680860039141E-3</c:v>
                </c:pt>
                <c:pt idx="15">
                  <c:v>2.3594136613376933E-3</c:v>
                </c:pt>
                <c:pt idx="16">
                  <c:v>2.0307059608526911E-3</c:v>
                </c:pt>
                <c:pt idx="17">
                  <c:v>1.8086378566791043E-3</c:v>
                </c:pt>
                <c:pt idx="18">
                  <c:v>1.6676139757437415E-3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D6-9844-8038-7111BCB8E817}"/>
            </c:ext>
          </c:extLst>
        </c:ser>
        <c:ser>
          <c:idx val="2"/>
          <c:order val="2"/>
          <c:tx>
            <c:strRef>
              <c:f>A!$E$97</c:f>
              <c:strCache>
                <c:ptCount val="1"/>
                <c:pt idx="0">
                  <c:v>WCT</c:v>
                </c:pt>
              </c:strCache>
            </c:strRef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A!$W$99:$W$117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A!$Z$99:$Z$117</c:f>
              <c:numCache>
                <c:formatCode>General</c:formatCode>
                <c:ptCount val="19"/>
                <c:pt idx="0">
                  <c:v>4.5368842381530439E-2</c:v>
                </c:pt>
                <c:pt idx="1">
                  <c:v>9.8340688871194445E-2</c:v>
                </c:pt>
                <c:pt idx="2">
                  <c:v>0.11842306280907083</c:v>
                </c:pt>
                <c:pt idx="3">
                  <c:v>0.11978946305427762</c:v>
                </c:pt>
                <c:pt idx="4">
                  <c:v>0.11128006765904394</c:v>
                </c:pt>
                <c:pt idx="5">
                  <c:v>9.8270202309644145E-2</c:v>
                </c:pt>
                <c:pt idx="6">
                  <c:v>8.3912529074232439E-2</c:v>
                </c:pt>
                <c:pt idx="7">
                  <c:v>6.9956651041636911E-2</c:v>
                </c:pt>
                <c:pt idx="8">
                  <c:v>5.7285006473012601E-2</c:v>
                </c:pt>
                <c:pt idx="9">
                  <c:v>4.6259394027998849E-2</c:v>
                </c:pt>
                <c:pt idx="10">
                  <c:v>3.6941959395308074E-2</c:v>
                </c:pt>
                <c:pt idx="11">
                  <c:v>2.9233631032649098E-2</c:v>
                </c:pt>
                <c:pt idx="12">
                  <c:v>2.2958802247139896E-2</c:v>
                </c:pt>
                <c:pt idx="13">
                  <c:v>1.7915431640851059E-2</c:v>
                </c:pt>
                <c:pt idx="14">
                  <c:v>1.390323307302843E-2</c:v>
                </c:pt>
                <c:pt idx="15">
                  <c:v>1.0738256971691349E-2</c:v>
                </c:pt>
                <c:pt idx="16">
                  <c:v>8.2592446758707888E-3</c:v>
                </c:pt>
                <c:pt idx="17">
                  <c:v>6.3291986956325831E-3</c:v>
                </c:pt>
                <c:pt idx="18">
                  <c:v>4.834334566186281E-3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D6-9844-8038-7111BCB8E817}"/>
            </c:ext>
          </c:extLst>
        </c:ser>
        <c:ser>
          <c:idx val="3"/>
          <c:order val="3"/>
          <c:tx>
            <c:strRef>
              <c:f>A!$F$97</c:f>
              <c:strCache>
                <c:ptCount val="1"/>
                <c:pt idx="0">
                  <c:v>WALK</c:v>
                </c:pt>
              </c:strCache>
            </c:strRef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A!$W$99:$W$117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A!$AA$99:$AA$117</c:f>
              <c:numCache>
                <c:formatCode>General</c:formatCode>
                <c:ptCount val="19"/>
                <c:pt idx="0">
                  <c:v>0.26077070016446896</c:v>
                </c:pt>
                <c:pt idx="1">
                  <c:v>0.31021132736818907</c:v>
                </c:pt>
                <c:pt idx="2">
                  <c:v>0.2050142297574086</c:v>
                </c:pt>
                <c:pt idx="3">
                  <c:v>0.11381241683878066</c:v>
                </c:pt>
                <c:pt idx="4">
                  <c:v>5.8024541773846666E-2</c:v>
                </c:pt>
                <c:pt idx="5">
                  <c:v>2.8121565866483983E-2</c:v>
                </c:pt>
                <c:pt idx="6">
                  <c:v>1.3178554314129192E-2</c:v>
                </c:pt>
                <c:pt idx="7">
                  <c:v>6.0296663579290592E-3</c:v>
                </c:pt>
                <c:pt idx="8">
                  <c:v>2.7097457784527991E-3</c:v>
                </c:pt>
                <c:pt idx="9">
                  <c:v>1.2009110257873445E-3</c:v>
                </c:pt>
                <c:pt idx="10">
                  <c:v>5.2632515884228819E-4</c:v>
                </c:pt>
                <c:pt idx="11">
                  <c:v>2.2858107757161328E-4</c:v>
                </c:pt>
                <c:pt idx="12">
                  <c:v>9.8521281590394476E-5</c:v>
                </c:pt>
                <c:pt idx="13">
                  <c:v>4.2192126285976155E-5</c:v>
                </c:pt>
                <c:pt idx="14">
                  <c:v>1.7969800281078297E-5</c:v>
                </c:pt>
                <c:pt idx="15">
                  <c:v>7.6170104339467441E-6</c:v>
                </c:pt>
                <c:pt idx="16">
                  <c:v>3.2152474375452768E-6</c:v>
                </c:pt>
                <c:pt idx="17">
                  <c:v>1.3522161217590079E-6</c:v>
                </c:pt>
                <c:pt idx="18">
                  <c:v>5.6683595923759371E-7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D6-9844-8038-7111BCB8E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811728"/>
        <c:axId val="1"/>
      </c:lineChart>
      <c:catAx>
        <c:axId val="1260811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 (in 5 minute cohorts)</a:t>
                </a:r>
              </a:p>
            </c:rich>
          </c:tx>
          <c:layout>
            <c:manualLayout>
              <c:xMode val="edge"/>
              <c:yMode val="edge"/>
              <c:x val="0.41241379310344828"/>
              <c:y val="0.936651583710407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Relative Probability</a:t>
                </a:r>
              </a:p>
            </c:rich>
          </c:tx>
          <c:layout>
            <c:manualLayout>
              <c:xMode val="edge"/>
              <c:yMode val="edge"/>
              <c:x val="1.2413793103448275E-2"/>
              <c:y val="0.423076923076923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26081172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862068965517241"/>
          <c:y val="0.4434389140271493"/>
          <c:w val="7.586206896551724E-2"/>
          <c:h val="0.147058823529411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TRIP DISTRIBUTION MODEL
WORK TRIPS</a:t>
            </a:r>
          </a:p>
        </c:rich>
      </c:tx>
      <c:layout>
        <c:manualLayout>
          <c:xMode val="edge"/>
          <c:yMode val="edge"/>
          <c:x val="0.3737931034482758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58620689655173"/>
          <c:y val="0.18778280542986425"/>
          <c:w val="0.77793103448275858"/>
          <c:h val="0.68778280542986425"/>
        </c:manualLayout>
      </c:layout>
      <c:lineChart>
        <c:grouping val="standard"/>
        <c:varyColors val="0"/>
        <c:ser>
          <c:idx val="0"/>
          <c:order val="0"/>
          <c:tx>
            <c:strRef>
              <c:f>A!$C$72</c:f>
              <c:strCache>
                <c:ptCount val="1"/>
                <c:pt idx="0">
                  <c:v>to Transit</c:v>
                </c:pt>
              </c:strCache>
            </c:strRef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A!$A$74:$A$92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A!$C$74:$C$92</c:f>
              <c:numCache>
                <c:formatCode>0.000_);[Red]\-0.000_)</c:formatCode>
                <c:ptCount val="19"/>
                <c:pt idx="0">
                  <c:v>5.3933687300356019E-2</c:v>
                </c:pt>
                <c:pt idx="1">
                  <c:v>6.7272751866449612E-2</c:v>
                </c:pt>
                <c:pt idx="2">
                  <c:v>7.9579401081849105E-2</c:v>
                </c:pt>
                <c:pt idx="3">
                  <c:v>8.9278016251610068E-2</c:v>
                </c:pt>
                <c:pt idx="4">
                  <c:v>9.4988447503730533E-2</c:v>
                </c:pt>
                <c:pt idx="5">
                  <c:v>9.5847202130498688E-2</c:v>
                </c:pt>
                <c:pt idx="6">
                  <c:v>9.1721359391499752E-2</c:v>
                </c:pt>
                <c:pt idx="7">
                  <c:v>8.3242270606464053E-2</c:v>
                </c:pt>
                <c:pt idx="8">
                  <c:v>7.1647286286716724E-2</c:v>
                </c:pt>
                <c:pt idx="9">
                  <c:v>5.8484120853038349E-2</c:v>
                </c:pt>
                <c:pt idx="10">
                  <c:v>4.5275012460254907E-2</c:v>
                </c:pt>
                <c:pt idx="11">
                  <c:v>3.3240043511018627E-2</c:v>
                </c:pt>
                <c:pt idx="12">
                  <c:v>2.3144456203015532E-2</c:v>
                </c:pt>
                <c:pt idx="13">
                  <c:v>1.5283216705863457E-2</c:v>
                </c:pt>
                <c:pt idx="14">
                  <c:v>9.5711683148690246E-3</c:v>
                </c:pt>
                <c:pt idx="15">
                  <c:v>5.684568819219595E-3</c:v>
                </c:pt>
                <c:pt idx="16">
                  <c:v>3.2019348860952484E-3</c:v>
                </c:pt>
                <c:pt idx="17">
                  <c:v>1.7104479221342825E-3</c:v>
                </c:pt>
                <c:pt idx="18">
                  <c:v>8.6654198190964189E-4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2-0B4D-B510-CACDC6685FBA}"/>
            </c:ext>
          </c:extLst>
        </c:ser>
        <c:ser>
          <c:idx val="1"/>
          <c:order val="1"/>
          <c:tx>
            <c:strRef>
              <c:f>A!$D$72</c:f>
              <c:strCache>
                <c:ptCount val="1"/>
                <c:pt idx="0">
                  <c:v>to Transit</c:v>
                </c:pt>
              </c:strCache>
            </c:strRef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A!$A$74:$A$92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A!$D$74:$D$92</c:f>
              <c:numCache>
                <c:formatCode>0.000_);[Red]\-0.000_)</c:formatCode>
                <c:ptCount val="19"/>
                <c:pt idx="0">
                  <c:v>5.5023220056407231E-2</c:v>
                </c:pt>
                <c:pt idx="1">
                  <c:v>0.13541050203922939</c:v>
                </c:pt>
                <c:pt idx="2">
                  <c:v>0.14373014333439663</c:v>
                </c:pt>
                <c:pt idx="3">
                  <c:v>0.13284866022001596</c:v>
                </c:pt>
                <c:pt idx="4">
                  <c:v>0.1143045710959744</c:v>
                </c:pt>
                <c:pt idx="5">
                  <c:v>9.3949300368479219E-2</c:v>
                </c:pt>
                <c:pt idx="6">
                  <c:v>7.4748870229152234E-2</c:v>
                </c:pt>
                <c:pt idx="7">
                  <c:v>5.8025263873441507E-2</c:v>
                </c:pt>
                <c:pt idx="8">
                  <c:v>4.4173267332889968E-2</c:v>
                </c:pt>
                <c:pt idx="9">
                  <c:v>3.3096323498023369E-2</c:v>
                </c:pt>
                <c:pt idx="10">
                  <c:v>2.4468359017180308E-2</c:v>
                </c:pt>
                <c:pt idx="11">
                  <c:v>1.7884862911760238E-2</c:v>
                </c:pt>
                <c:pt idx="12">
                  <c:v>1.2944434086859786E-2</c:v>
                </c:pt>
                <c:pt idx="13">
                  <c:v>9.2880140155488459E-3</c:v>
                </c:pt>
                <c:pt idx="14">
                  <c:v>6.6134975850606651E-3</c:v>
                </c:pt>
                <c:pt idx="15">
                  <c:v>4.6769134413847755E-3</c:v>
                </c:pt>
                <c:pt idx="16">
                  <c:v>3.2870083835683352E-3</c:v>
                </c:pt>
                <c:pt idx="17">
                  <c:v>2.2972271773143839E-3</c:v>
                </c:pt>
                <c:pt idx="18">
                  <c:v>1.5972797921307263E-3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32-0B4D-B510-CACDC6685FBA}"/>
            </c:ext>
          </c:extLst>
        </c:ser>
        <c:ser>
          <c:idx val="2"/>
          <c:order val="2"/>
          <c:tx>
            <c:strRef>
              <c:f>A!$E$72</c:f>
              <c:strCache>
                <c:ptCount val="1"/>
                <c:pt idx="0">
                  <c:v>Transit</c:v>
                </c:pt>
              </c:strCache>
            </c:strRef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A!$A$74:$A$92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A!$E$74:$E$92</c:f>
              <c:numCache>
                <c:formatCode>0.000_);[Red]\-0.000_)</c:formatCode>
                <c:ptCount val="19"/>
                <c:pt idx="0">
                  <c:v>0.14808038659546247</c:v>
                </c:pt>
                <c:pt idx="1">
                  <c:v>0.18223795770620979</c:v>
                </c:pt>
                <c:pt idx="2">
                  <c:v>0.15850067610053545</c:v>
                </c:pt>
                <c:pt idx="3">
                  <c:v>0.13020314253895682</c:v>
                </c:pt>
                <c:pt idx="4">
                  <c:v>0.10384208243875402</c:v>
                </c:pt>
                <c:pt idx="5">
                  <c:v>8.1268239240891701E-2</c:v>
                </c:pt>
                <c:pt idx="6">
                  <c:v>6.2753857885610137E-2</c:v>
                </c:pt>
                <c:pt idx="7">
                  <c:v>4.7967150953928318E-2</c:v>
                </c:pt>
                <c:pt idx="8">
                  <c:v>3.637066120797245E-2</c:v>
                </c:pt>
                <c:pt idx="9">
                  <c:v>2.739688500807087E-2</c:v>
                </c:pt>
                <c:pt idx="10">
                  <c:v>2.0523862819002356E-2</c:v>
                </c:pt>
                <c:pt idx="11">
                  <c:v>1.5302984550919054E-2</c:v>
                </c:pt>
                <c:pt idx="12">
                  <c:v>1.1363840774203661E-2</c:v>
                </c:pt>
                <c:pt idx="13">
                  <c:v>8.4085881492950206E-3</c:v>
                </c:pt>
                <c:pt idx="14">
                  <c:v>6.2022017457773939E-3</c:v>
                </c:pt>
                <c:pt idx="15">
                  <c:v>4.5618242530137201E-3</c:v>
                </c:pt>
                <c:pt idx="16">
                  <c:v>3.3467419994298061E-3</c:v>
                </c:pt>
                <c:pt idx="17">
                  <c:v>2.4496240410887774E-3</c:v>
                </c:pt>
                <c:pt idx="18">
                  <c:v>1.7891953950335371E-3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32-0B4D-B510-CACDC6685FBA}"/>
            </c:ext>
          </c:extLst>
        </c:ser>
        <c:ser>
          <c:idx val="3"/>
          <c:order val="3"/>
          <c:tx>
            <c:strRef>
              <c:f>A!$F$72</c:f>
              <c:strCache>
                <c:ptCount val="1"/>
                <c:pt idx="0">
                  <c:v>Auto-1</c:v>
                </c:pt>
              </c:strCache>
            </c:strRef>
          </c:tx>
          <c:spPr>
            <a:ln w="3175">
              <a:solidFill>
                <a:srgbClr val="FFFF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A!$A$74:$A$92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A!$F$74:$F$92</c:f>
              <c:numCache>
                <c:formatCode>0.000_);[Red]\-0.000_)</c:formatCode>
                <c:ptCount val="19"/>
                <c:pt idx="0">
                  <c:v>0.38022199479853436</c:v>
                </c:pt>
                <c:pt idx="1">
                  <c:v>0.2574319154137531</c:v>
                </c:pt>
                <c:pt idx="2">
                  <c:v>0.1742960480461116</c:v>
                </c:pt>
                <c:pt idx="3">
                  <c:v>0.11800833752748224</c:v>
                </c:pt>
                <c:pt idx="4">
                  <c:v>7.9898356171081597E-2</c:v>
                </c:pt>
                <c:pt idx="5">
                  <c:v>5.4095731306733674E-2</c:v>
                </c:pt>
                <c:pt idx="6">
                  <c:v>3.6625886762229616E-2</c:v>
                </c:pt>
                <c:pt idx="7">
                  <c:v>2.4797808416958885E-2</c:v>
                </c:pt>
                <c:pt idx="8">
                  <c:v>1.6789526661190469E-2</c:v>
                </c:pt>
                <c:pt idx="9">
                  <c:v>1.1367464445529229E-2</c:v>
                </c:pt>
                <c:pt idx="10">
                  <c:v>7.6964199484590287E-3</c:v>
                </c:pt>
                <c:pt idx="11">
                  <c:v>5.2109140351289975E-3</c:v>
                </c:pt>
                <c:pt idx="12">
                  <c:v>3.5280851699030598E-3</c:v>
                </c:pt>
                <c:pt idx="13">
                  <c:v>2.3887143180978906E-3</c:v>
                </c:pt>
                <c:pt idx="14">
                  <c:v>1.6172954502803732E-3</c:v>
                </c:pt>
                <c:pt idx="15">
                  <c:v>1.0950010027069316E-3</c:v>
                </c:pt>
                <c:pt idx="16">
                  <c:v>7.413779564651112E-4</c:v>
                </c:pt>
                <c:pt idx="17">
                  <c:v>5.0195504202610471E-4</c:v>
                </c:pt>
                <c:pt idx="18">
                  <c:v>3.3985211189278949E-4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32-0B4D-B510-CACDC6685FBA}"/>
            </c:ext>
          </c:extLst>
        </c:ser>
        <c:ser>
          <c:idx val="4"/>
          <c:order val="4"/>
          <c:tx>
            <c:strRef>
              <c:f>A!$G$72</c:f>
              <c:strCache>
                <c:ptCount val="1"/>
                <c:pt idx="0">
                  <c:v>Auto-2</c:v>
                </c:pt>
              </c:strCache>
            </c:strRef>
          </c:tx>
          <c:spPr>
            <a:ln w="3175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A!$A$74:$A$92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A!$G$74:$G$92</c:f>
              <c:numCache>
                <c:formatCode>0.000_);[Red]\-0.000_)</c:formatCode>
                <c:ptCount val="19"/>
                <c:pt idx="0">
                  <c:v>0.35700696056914738</c:v>
                </c:pt>
                <c:pt idx="1">
                  <c:v>0.24659696394160649</c:v>
                </c:pt>
                <c:pt idx="2">
                  <c:v>0.17033298882540943</c:v>
                </c:pt>
                <c:pt idx="3">
                  <c:v>0.11765484302177924</c:v>
                </c:pt>
                <c:pt idx="4">
                  <c:v>8.1268239240891701E-2</c:v>
                </c:pt>
                <c:pt idx="5">
                  <c:v>5.6134762834133725E-2</c:v>
                </c:pt>
                <c:pt idx="6">
                  <c:v>3.8774207831722009E-2</c:v>
                </c:pt>
                <c:pt idx="7">
                  <c:v>2.6782676492638175E-2</c:v>
                </c:pt>
                <c:pt idx="8">
                  <c:v>1.8499714119819242E-2</c:v>
                </c:pt>
                <c:pt idx="9">
                  <c:v>1.2778387649535773E-2</c:v>
                </c:pt>
                <c:pt idx="10">
                  <c:v>8.8264710397267295E-3</c:v>
                </c:pt>
                <c:pt idx="11">
                  <c:v>6.0967465655156379E-3</c:v>
                </c:pt>
                <c:pt idx="12">
                  <c:v>4.2112321579970352E-3</c:v>
                </c:pt>
                <c:pt idx="13">
                  <c:v>2.9088426258125841E-3</c:v>
                </c:pt>
                <c:pt idx="14">
                  <c:v>2.0092374640700602E-3</c:v>
                </c:pt>
                <c:pt idx="15">
                  <c:v>1.3878492948359289E-3</c:v>
                </c:pt>
                <c:pt idx="16">
                  <c:v>9.5863515369401986E-4</c:v>
                </c:pt>
                <c:pt idx="17">
                  <c:v>6.6216221121227639E-4</c:v>
                </c:pt>
                <c:pt idx="18">
                  <c:v>4.5737817173506273E-4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32-0B4D-B510-CACDC6685FBA}"/>
            </c:ext>
          </c:extLst>
        </c:ser>
        <c:ser>
          <c:idx val="5"/>
          <c:order val="5"/>
          <c:tx>
            <c:strRef>
              <c:f>A!$H$72</c:f>
              <c:strCache>
                <c:ptCount val="1"/>
                <c:pt idx="0">
                  <c:v>Auto-3+</c:v>
                </c:pt>
              </c:strCache>
            </c:strRef>
          </c:tx>
          <c:spPr>
            <a:ln w="3175">
              <a:solidFill>
                <a:srgbClr val="00FFFF"/>
              </a:solidFill>
              <a:prstDash val="solid"/>
            </a:ln>
          </c:spPr>
          <c:marker>
            <c:symbol val="triangle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A!$A$74:$A$92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A!$H$74:$H$92</c:f>
              <c:numCache>
                <c:formatCode>0.000_);[Red]\-0.000_)</c:formatCode>
                <c:ptCount val="19"/>
                <c:pt idx="0">
                  <c:v>0.26982005638468681</c:v>
                </c:pt>
                <c:pt idx="1">
                  <c:v>0.20189651799465538</c:v>
                </c:pt>
                <c:pt idx="2">
                  <c:v>0.15107180883637084</c:v>
                </c:pt>
                <c:pt idx="3">
                  <c:v>0.11304153064044985</c:v>
                </c:pt>
                <c:pt idx="4">
                  <c:v>8.4584859001564691E-2</c:v>
                </c:pt>
                <c:pt idx="5">
                  <c:v>6.3291768359640704E-2</c:v>
                </c:pt>
                <c:pt idx="6">
                  <c:v>4.7358924391140929E-2</c:v>
                </c:pt>
                <c:pt idx="7">
                  <c:v>3.5436957721598626E-2</c:v>
                </c:pt>
                <c:pt idx="8">
                  <c:v>2.651618440889417E-2</c:v>
                </c:pt>
                <c:pt idx="9">
                  <c:v>1.9841094744370281E-2</c:v>
                </c:pt>
                <c:pt idx="10">
                  <c:v>1.4846368338086818E-2</c:v>
                </c:pt>
                <c:pt idx="11">
                  <c:v>1.1108996538242306E-2</c:v>
                </c:pt>
                <c:pt idx="12">
                  <c:v>8.3124573819231187E-3</c:v>
                </c:pt>
                <c:pt idx="13">
                  <c:v>6.2199090159425728E-3</c:v>
                </c:pt>
                <c:pt idx="14">
                  <c:v>4.6541313102832684E-3</c:v>
                </c:pt>
                <c:pt idx="15">
                  <c:v>3.4825168982116632E-3</c:v>
                </c:pt>
                <c:pt idx="16">
                  <c:v>2.6058405184084957E-3</c:v>
                </c:pt>
                <c:pt idx="17">
                  <c:v>1.9498555228451206E-3</c:v>
                </c:pt>
                <c:pt idx="18">
                  <c:v>1.4590058497868572E-3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32-0B4D-B510-CACDC6685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865616"/>
        <c:axId val="1"/>
      </c:lineChart>
      <c:catAx>
        <c:axId val="126086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TIME (in 5 minute cohorts)</a:t>
                </a:r>
              </a:p>
            </c:rich>
          </c:tx>
          <c:layout>
            <c:manualLayout>
              <c:xMode val="edge"/>
              <c:yMode val="edge"/>
              <c:x val="0.38758620689655171"/>
              <c:y val="0.94343891402714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4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Relative Probability per Opportunity</a:t>
                </a:r>
              </a:p>
            </c:rich>
          </c:tx>
          <c:layout>
            <c:manualLayout>
              <c:xMode val="edge"/>
              <c:yMode val="edge"/>
              <c:x val="4.1379310344827587E-3"/>
              <c:y val="0.29411764705882354"/>
            </c:manualLayout>
          </c:layout>
          <c:overlay val="0"/>
          <c:spPr>
            <a:noFill/>
            <a:ln w="25400">
              <a:noFill/>
            </a:ln>
          </c:spPr>
        </c:title>
        <c:numFmt formatCode="0.000_);[Red]\-0.000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26086561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55172413793104"/>
          <c:y val="0.21040723981900453"/>
          <c:w val="0.12"/>
          <c:h val="0.260180995475113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217" workbookViewId="0" zoomToFit="1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217" workbookViewId="0" zoomToFit="1"/>
  </sheetViews>
  <pageMargins left="0.75" right="0.75" top="1" bottom="1" header="0.5" footer="0.5"/>
  <pageSetup paperSize="0" orientation="landscape" horizontalDpi="4294967292" verticalDpi="4294967292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217" workbookViewId="0" zoomToFit="1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tabSelected="1" zoomScale="217" workbookViewId="0" zoomToFit="1"/>
  </sheetViews>
  <pageMargins left="0.75" right="0.75" top="1" bottom="1" header="0.5" footer="0.5"/>
  <pageSetup paperSize="0" orientation="landscape" horizontalDpi="4294967292" verticalDpi="4294967292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6037" cy="56125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8E521F-87AD-8842-B8A8-7CE6EDA91C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6037" cy="56125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3D9FBB-55F5-4C4A-BD3C-4D3C0A4E63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6037" cy="56125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F47FCB-FC38-0845-AC92-3C893F3EE2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06037" cy="56125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699C92-D9F9-DF43-A49D-14B6CA43DC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D153"/>
  <sheetViews>
    <sheetView showGridLines="0" topLeftCell="A59" workbookViewId="0">
      <selection activeCell="C100" sqref="C100"/>
    </sheetView>
  </sheetViews>
  <sheetFormatPr baseColWidth="10" defaultColWidth="8.83203125" defaultRowHeight="13" x14ac:dyDescent="0.2"/>
  <cols>
    <col min="1" max="1" width="9.83203125" customWidth="1"/>
    <col min="2" max="2" width="1.83203125" customWidth="1"/>
  </cols>
  <sheetData>
    <row r="1" spans="1:9" x14ac:dyDescent="0.2">
      <c r="A1" t="s">
        <v>0</v>
      </c>
    </row>
    <row r="5" spans="1:9" x14ac:dyDescent="0.2">
      <c r="A5" t="s">
        <v>1</v>
      </c>
    </row>
    <row r="7" spans="1:9" x14ac:dyDescent="0.2">
      <c r="A7" t="s">
        <v>2</v>
      </c>
    </row>
    <row r="9" spans="1:9" x14ac:dyDescent="0.2">
      <c r="A9" s="3" t="s">
        <v>3</v>
      </c>
      <c r="C9" t="s">
        <v>4</v>
      </c>
      <c r="D9" t="s">
        <v>5</v>
      </c>
      <c r="E9" t="s">
        <v>6</v>
      </c>
    </row>
    <row r="10" spans="1:9" x14ac:dyDescent="0.2">
      <c r="C10" t="s">
        <v>7</v>
      </c>
      <c r="D10" t="s">
        <v>7</v>
      </c>
      <c r="E10" t="s">
        <v>8</v>
      </c>
      <c r="F10" t="s">
        <v>9</v>
      </c>
      <c r="G10" t="s">
        <v>10</v>
      </c>
      <c r="H10" t="s">
        <v>11</v>
      </c>
      <c r="I10" t="s">
        <v>12</v>
      </c>
    </row>
    <row r="11" spans="1:9" x14ac:dyDescent="0.2">
      <c r="A11" t="s">
        <v>13</v>
      </c>
      <c r="B11" t="s">
        <v>14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</row>
    <row r="12" spans="1:9" x14ac:dyDescent="0.2">
      <c r="A12" t="s">
        <v>16</v>
      </c>
      <c r="B12" t="s">
        <v>14</v>
      </c>
      <c r="C12" s="1">
        <v>4.9500000000000002E-2</v>
      </c>
      <c r="D12" s="1">
        <v>-0.107</v>
      </c>
      <c r="E12" s="1">
        <v>-7.6999999999999999E-2</v>
      </c>
      <c r="F12" s="1">
        <v>-7.8E-2</v>
      </c>
      <c r="G12" s="1">
        <v>-7.3999999999999996E-2</v>
      </c>
      <c r="H12" s="1">
        <v>-5.8000000000000003E-2</v>
      </c>
      <c r="I12" s="1">
        <v>-0.14100000000000001</v>
      </c>
    </row>
    <row r="13" spans="1:9" x14ac:dyDescent="0.2">
      <c r="B13" t="s">
        <v>14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21</v>
      </c>
      <c r="H13" s="3" t="s">
        <v>22</v>
      </c>
      <c r="I13" s="3" t="s">
        <v>23</v>
      </c>
    </row>
    <row r="14" spans="1:9" x14ac:dyDescent="0.2">
      <c r="B14" t="s">
        <v>14</v>
      </c>
    </row>
    <row r="15" spans="1:9" x14ac:dyDescent="0.2">
      <c r="A15" t="s">
        <v>24</v>
      </c>
      <c r="B15" t="s">
        <v>14</v>
      </c>
      <c r="C15" s="5" t="s">
        <v>15</v>
      </c>
      <c r="D15">
        <v>0.64200000000000002</v>
      </c>
      <c r="E15">
        <v>0.26500000000000001</v>
      </c>
      <c r="F15" s="5" t="s">
        <v>15</v>
      </c>
      <c r="G15" s="5" t="s">
        <v>15</v>
      </c>
      <c r="H15" s="5" t="s">
        <v>15</v>
      </c>
      <c r="I15" s="5" t="s">
        <v>15</v>
      </c>
    </row>
    <row r="16" spans="1:9" x14ac:dyDescent="0.2">
      <c r="B16" t="s">
        <v>14</v>
      </c>
      <c r="C16" s="5" t="s">
        <v>15</v>
      </c>
      <c r="D16" s="3" t="s">
        <v>25</v>
      </c>
      <c r="E16" s="3" t="s">
        <v>17</v>
      </c>
      <c r="F16" s="5" t="s">
        <v>15</v>
      </c>
      <c r="G16" s="5" t="s">
        <v>15</v>
      </c>
      <c r="H16" s="5" t="s">
        <v>15</v>
      </c>
      <c r="I16" s="5" t="s">
        <v>15</v>
      </c>
    </row>
    <row r="17" spans="1:9" x14ac:dyDescent="0.2">
      <c r="B17" t="s">
        <v>14</v>
      </c>
    </row>
    <row r="18" spans="1:9" x14ac:dyDescent="0.2">
      <c r="A18" t="s">
        <v>26</v>
      </c>
      <c r="B18" t="s">
        <v>14</v>
      </c>
      <c r="C18">
        <v>-1.06E-3</v>
      </c>
      <c r="D18" s="5" t="s">
        <v>15</v>
      </c>
      <c r="E18" s="5" t="s">
        <v>15</v>
      </c>
      <c r="F18" s="5" t="s">
        <v>15</v>
      </c>
      <c r="G18" s="5" t="s">
        <v>15</v>
      </c>
      <c r="H18" s="5" t="s">
        <v>15</v>
      </c>
      <c r="I18" s="5" t="s">
        <v>15</v>
      </c>
    </row>
    <row r="19" spans="1:9" x14ac:dyDescent="0.2">
      <c r="B19" t="s">
        <v>14</v>
      </c>
      <c r="C19" s="3" t="s">
        <v>27</v>
      </c>
      <c r="D19" s="5" t="s">
        <v>15</v>
      </c>
      <c r="E19" s="5" t="s">
        <v>15</v>
      </c>
      <c r="F19" s="5" t="s">
        <v>15</v>
      </c>
      <c r="G19" s="5" t="s">
        <v>15</v>
      </c>
      <c r="H19" s="5" t="s">
        <v>15</v>
      </c>
      <c r="I19" s="5" t="s">
        <v>15</v>
      </c>
    </row>
    <row r="20" spans="1:9" x14ac:dyDescent="0.2">
      <c r="B20" t="s">
        <v>14</v>
      </c>
    </row>
    <row r="21" spans="1:9" x14ac:dyDescent="0.2">
      <c r="A21" t="s">
        <v>28</v>
      </c>
      <c r="B21" t="s">
        <v>14</v>
      </c>
      <c r="C21" s="1">
        <v>-2.92</v>
      </c>
      <c r="D21" s="1">
        <v>-2.9</v>
      </c>
      <c r="E21" s="1">
        <v>-1.91</v>
      </c>
      <c r="F21" s="1">
        <v>-0.96699999999999997</v>
      </c>
      <c r="G21" s="1">
        <v>-1.03</v>
      </c>
      <c r="H21" s="1">
        <v>-1.31</v>
      </c>
      <c r="I21" s="1">
        <v>-0.57999999999999996</v>
      </c>
    </row>
    <row r="22" spans="1:9" x14ac:dyDescent="0.2">
      <c r="B22" t="s">
        <v>14</v>
      </c>
    </row>
    <row r="23" spans="1:9" x14ac:dyDescent="0.2">
      <c r="A23" t="s">
        <v>29</v>
      </c>
      <c r="B23" t="s">
        <v>14</v>
      </c>
      <c r="C23">
        <v>0.87</v>
      </c>
      <c r="D23">
        <v>0.88</v>
      </c>
      <c r="E23">
        <v>0.98</v>
      </c>
      <c r="F23">
        <v>0.94</v>
      </c>
      <c r="G23">
        <v>0.94</v>
      </c>
      <c r="H23">
        <v>0.87</v>
      </c>
      <c r="I23">
        <v>0.94</v>
      </c>
    </row>
    <row r="25" spans="1:9" x14ac:dyDescent="0.2">
      <c r="C25" t="s">
        <v>30</v>
      </c>
    </row>
    <row r="28" spans="1:9" x14ac:dyDescent="0.2">
      <c r="A28" t="s">
        <v>31</v>
      </c>
    </row>
    <row r="30" spans="1:9" x14ac:dyDescent="0.2">
      <c r="A30" t="s">
        <v>32</v>
      </c>
    </row>
    <row r="31" spans="1:9" x14ac:dyDescent="0.2">
      <c r="C31" t="s">
        <v>33</v>
      </c>
    </row>
    <row r="32" spans="1:9" x14ac:dyDescent="0.2">
      <c r="A32" s="3" t="s">
        <v>34</v>
      </c>
      <c r="C32" t="s">
        <v>9</v>
      </c>
      <c r="D32" t="s">
        <v>35</v>
      </c>
      <c r="E32" t="s">
        <v>8</v>
      </c>
      <c r="F32" t="s">
        <v>12</v>
      </c>
    </row>
    <row r="33" spans="1:6" x14ac:dyDescent="0.2">
      <c r="A33" t="s">
        <v>13</v>
      </c>
      <c r="B33" t="s">
        <v>14</v>
      </c>
      <c r="C33" s="4" t="s">
        <v>15</v>
      </c>
      <c r="D33" s="4" t="s">
        <v>15</v>
      </c>
      <c r="E33" s="4" t="s">
        <v>15</v>
      </c>
      <c r="F33" s="4" t="s">
        <v>15</v>
      </c>
    </row>
    <row r="34" spans="1:6" x14ac:dyDescent="0.2">
      <c r="A34" t="s">
        <v>16</v>
      </c>
      <c r="B34" t="s">
        <v>14</v>
      </c>
      <c r="C34" s="1">
        <v>-0.156</v>
      </c>
      <c r="D34" s="1">
        <v>-0.16</v>
      </c>
      <c r="E34" s="1">
        <v>-6.5000000000000002E-2</v>
      </c>
      <c r="F34" s="1">
        <v>-0.185</v>
      </c>
    </row>
    <row r="35" spans="1:6" x14ac:dyDescent="0.2">
      <c r="B35" t="s">
        <v>14</v>
      </c>
      <c r="C35" s="3" t="s">
        <v>36</v>
      </c>
      <c r="D35" s="3" t="s">
        <v>37</v>
      </c>
      <c r="E35" s="3" t="s">
        <v>38</v>
      </c>
      <c r="F35" s="3" t="s">
        <v>39</v>
      </c>
    </row>
    <row r="36" spans="1:6" x14ac:dyDescent="0.2">
      <c r="B36" t="s">
        <v>14</v>
      </c>
    </row>
    <row r="37" spans="1:6" x14ac:dyDescent="0.2">
      <c r="A37" t="s">
        <v>26</v>
      </c>
      <c r="B37" t="s">
        <v>14</v>
      </c>
      <c r="C37">
        <v>6.6299999999999996E-4</v>
      </c>
      <c r="D37">
        <v>7.5799999999999999E-4</v>
      </c>
      <c r="E37" s="5" t="s">
        <v>15</v>
      </c>
      <c r="F37" s="5" t="s">
        <v>15</v>
      </c>
    </row>
    <row r="38" spans="1:6" x14ac:dyDescent="0.2">
      <c r="B38" t="s">
        <v>14</v>
      </c>
      <c r="C38" s="3" t="s">
        <v>40</v>
      </c>
      <c r="D38" s="3" t="s">
        <v>41</v>
      </c>
      <c r="E38" s="5" t="s">
        <v>15</v>
      </c>
      <c r="F38" s="5" t="s">
        <v>15</v>
      </c>
    </row>
    <row r="39" spans="1:6" x14ac:dyDescent="0.2">
      <c r="B39" t="s">
        <v>14</v>
      </c>
    </row>
    <row r="40" spans="1:6" x14ac:dyDescent="0.2">
      <c r="A40" t="s">
        <v>28</v>
      </c>
      <c r="B40" t="s">
        <v>14</v>
      </c>
      <c r="C40" s="1">
        <v>-0.39</v>
      </c>
      <c r="D40" s="1">
        <v>-0.36</v>
      </c>
      <c r="E40" s="1">
        <v>-1.32</v>
      </c>
      <c r="F40" s="1">
        <v>-0.186</v>
      </c>
    </row>
    <row r="41" spans="1:6" x14ac:dyDescent="0.2">
      <c r="B41" t="s">
        <v>14</v>
      </c>
    </row>
    <row r="42" spans="1:6" x14ac:dyDescent="0.2">
      <c r="A42" t="s">
        <v>29</v>
      </c>
      <c r="B42" t="s">
        <v>14</v>
      </c>
      <c r="C42">
        <v>0.95</v>
      </c>
      <c r="D42">
        <v>0.96</v>
      </c>
      <c r="E42">
        <v>0.93</v>
      </c>
      <c r="F42">
        <v>0.95</v>
      </c>
    </row>
    <row r="44" spans="1:6" x14ac:dyDescent="0.2">
      <c r="C44" t="s">
        <v>30</v>
      </c>
    </row>
    <row r="46" spans="1:6" x14ac:dyDescent="0.2">
      <c r="A46" t="s">
        <v>42</v>
      </c>
    </row>
    <row r="50" spans="1:2" x14ac:dyDescent="0.2">
      <c r="A50" t="s">
        <v>43</v>
      </c>
    </row>
    <row r="51" spans="1:2" x14ac:dyDescent="0.2">
      <c r="A51" t="s">
        <v>3</v>
      </c>
    </row>
    <row r="52" spans="1:2" x14ac:dyDescent="0.2">
      <c r="A52" t="s">
        <v>44</v>
      </c>
      <c r="B52" t="s">
        <v>45</v>
      </c>
    </row>
    <row r="53" spans="1:2" x14ac:dyDescent="0.2">
      <c r="A53" t="s">
        <v>46</v>
      </c>
      <c r="B53" t="s">
        <v>47</v>
      </c>
    </row>
    <row r="54" spans="1:2" x14ac:dyDescent="0.2">
      <c r="A54" t="s">
        <v>48</v>
      </c>
      <c r="B54" t="s">
        <v>49</v>
      </c>
    </row>
    <row r="55" spans="1:2" x14ac:dyDescent="0.2">
      <c r="A55" t="s">
        <v>50</v>
      </c>
      <c r="B55" t="s">
        <v>51</v>
      </c>
    </row>
    <row r="56" spans="1:2" x14ac:dyDescent="0.2">
      <c r="A56" t="s">
        <v>52</v>
      </c>
      <c r="B56" t="s">
        <v>53</v>
      </c>
    </row>
    <row r="57" spans="1:2" x14ac:dyDescent="0.2">
      <c r="A57" t="s">
        <v>54</v>
      </c>
      <c r="B57" t="s">
        <v>55</v>
      </c>
    </row>
    <row r="58" spans="1:2" x14ac:dyDescent="0.2">
      <c r="A58" t="s">
        <v>56</v>
      </c>
      <c r="B58" t="s">
        <v>57</v>
      </c>
    </row>
    <row r="59" spans="1:2" x14ac:dyDescent="0.2">
      <c r="A59" t="s">
        <v>58</v>
      </c>
      <c r="B59" t="s">
        <v>12</v>
      </c>
    </row>
    <row r="70" spans="1:30" x14ac:dyDescent="0.2">
      <c r="A70" t="s">
        <v>43</v>
      </c>
      <c r="C70" t="s">
        <v>59</v>
      </c>
      <c r="L70" t="s">
        <v>60</v>
      </c>
      <c r="W70" t="s">
        <v>60</v>
      </c>
    </row>
    <row r="71" spans="1:30" x14ac:dyDescent="0.2">
      <c r="A71" s="3" t="s">
        <v>3</v>
      </c>
      <c r="C71" t="s">
        <v>4</v>
      </c>
      <c r="D71" t="s">
        <v>5</v>
      </c>
      <c r="E71" t="s">
        <v>6</v>
      </c>
    </row>
    <row r="72" spans="1:30" x14ac:dyDescent="0.2">
      <c r="C72" t="s">
        <v>7</v>
      </c>
      <c r="D72" t="s">
        <v>7</v>
      </c>
      <c r="E72" t="s">
        <v>8</v>
      </c>
      <c r="F72" t="s">
        <v>9</v>
      </c>
      <c r="G72" t="s">
        <v>10</v>
      </c>
      <c r="H72" t="s">
        <v>11</v>
      </c>
      <c r="I72" t="s">
        <v>12</v>
      </c>
      <c r="M72" t="s">
        <v>44</v>
      </c>
      <c r="N72" t="s">
        <v>46</v>
      </c>
      <c r="O72" t="s">
        <v>48</v>
      </c>
      <c r="P72" t="s">
        <v>50</v>
      </c>
      <c r="Q72" t="s">
        <v>52</v>
      </c>
      <c r="R72" t="s">
        <v>56</v>
      </c>
      <c r="S72" t="s">
        <v>58</v>
      </c>
      <c r="X72" t="s">
        <v>44</v>
      </c>
      <c r="Y72" t="s">
        <v>46</v>
      </c>
      <c r="Z72" t="s">
        <v>48</v>
      </c>
      <c r="AA72" t="s">
        <v>50</v>
      </c>
      <c r="AB72" t="s">
        <v>52</v>
      </c>
      <c r="AC72" t="s">
        <v>56</v>
      </c>
      <c r="AD72" t="s">
        <v>58</v>
      </c>
    </row>
    <row r="73" spans="1:30" x14ac:dyDescent="0.2">
      <c r="A73" t="s">
        <v>16</v>
      </c>
      <c r="C73" s="4" t="s">
        <v>15</v>
      </c>
      <c r="D73" s="4" t="s">
        <v>15</v>
      </c>
      <c r="E73" s="4" t="s">
        <v>15</v>
      </c>
      <c r="F73" s="4" t="s">
        <v>15</v>
      </c>
      <c r="G73" s="4" t="s">
        <v>15</v>
      </c>
      <c r="H73" s="4" t="s">
        <v>15</v>
      </c>
      <c r="I73" s="4" t="s">
        <v>15</v>
      </c>
      <c r="K73" t="s">
        <v>61</v>
      </c>
      <c r="L73" t="s">
        <v>16</v>
      </c>
      <c r="M73" s="4" t="s">
        <v>15</v>
      </c>
      <c r="N73" s="4" t="s">
        <v>15</v>
      </c>
      <c r="O73" s="4" t="s">
        <v>15</v>
      </c>
      <c r="P73" s="4" t="s">
        <v>15</v>
      </c>
      <c r="Q73" s="4" t="s">
        <v>15</v>
      </c>
      <c r="R73" s="4" t="s">
        <v>15</v>
      </c>
      <c r="S73" s="4" t="s">
        <v>15</v>
      </c>
      <c r="V73" t="s">
        <v>61</v>
      </c>
      <c r="W73" t="s">
        <v>16</v>
      </c>
      <c r="X73" s="4" t="s">
        <v>15</v>
      </c>
      <c r="Y73" s="4" t="s">
        <v>15</v>
      </c>
      <c r="Z73" s="4" t="s">
        <v>15</v>
      </c>
      <c r="AA73" s="4" t="s">
        <v>15</v>
      </c>
      <c r="AB73" s="4" t="s">
        <v>15</v>
      </c>
      <c r="AC73" s="4" t="s">
        <v>15</v>
      </c>
      <c r="AD73" s="4" t="s">
        <v>15</v>
      </c>
    </row>
    <row r="74" spans="1:30" x14ac:dyDescent="0.2">
      <c r="A74">
        <v>0</v>
      </c>
      <c r="B74" t="s">
        <v>14</v>
      </c>
      <c r="C74" s="2">
        <f t="shared" ref="C74:I83" si="0">EXP(C$12*$A74+C$15*SQRT($A74)+C$18*$A74*$A74+C$21)</f>
        <v>5.3933687300356019E-2</v>
      </c>
      <c r="D74" s="2">
        <f t="shared" si="0"/>
        <v>5.5023220056407231E-2</v>
      </c>
      <c r="E74" s="2">
        <f t="shared" si="0"/>
        <v>0.14808038659546247</v>
      </c>
      <c r="F74" s="2">
        <f t="shared" si="0"/>
        <v>0.38022199479853436</v>
      </c>
      <c r="G74" s="2">
        <f t="shared" si="0"/>
        <v>0.35700696056914738</v>
      </c>
      <c r="H74" s="2">
        <f t="shared" si="0"/>
        <v>0.26982005638468681</v>
      </c>
      <c r="I74" s="2">
        <f t="shared" si="0"/>
        <v>0.55989836656540204</v>
      </c>
      <c r="K74">
        <v>1</v>
      </c>
      <c r="L74">
        <f t="shared" ref="L74:L92" si="1">A74</f>
        <v>0</v>
      </c>
      <c r="M74">
        <f t="shared" ref="M74:M92" si="2">(C74/C$94)*($K74)</f>
        <v>5.8371564450447E-2</v>
      </c>
      <c r="N74">
        <f t="shared" ref="N74:N92" si="3">(D74/D$94)*$K74</f>
        <v>5.6820584791878535E-2</v>
      </c>
      <c r="O74">
        <f t="shared" ref="O74:O92" si="4">(E74/E$94)*$K74</f>
        <v>0.14068461022545886</v>
      </c>
      <c r="P74">
        <f t="shared" ref="P74:P92" si="5">(F74/F$94)*$K74</f>
        <v>0.32313867956097636</v>
      </c>
      <c r="Q74">
        <f t="shared" ref="Q74:Q92" si="6">(G74/G$94)*$K74</f>
        <v>0.3095395907838826</v>
      </c>
      <c r="R74">
        <f t="shared" ref="R74:R92" si="7">(H74/H$94)*$K74</f>
        <v>0.25275912297508107</v>
      </c>
      <c r="S74">
        <f t="shared" ref="S74:S92" si="8">(I74/I$94)*$K74</f>
        <v>0.50589219608553582</v>
      </c>
      <c r="V74">
        <v>1</v>
      </c>
      <c r="W74">
        <f t="shared" ref="W74:W92" si="9">L74</f>
        <v>0</v>
      </c>
      <c r="X74">
        <f t="shared" ref="X74:X92" si="10">(M74/M$94)</f>
        <v>4.7661627658873371E-3</v>
      </c>
      <c r="Y74">
        <f t="shared" ref="Y74:Y92" si="11">(N74/N$94)</f>
        <v>5.8052128070145729E-3</v>
      </c>
      <c r="Z74">
        <f t="shared" ref="Z74:Z92" si="12">(O74/O$94)</f>
        <v>1.6867268880174827E-2</v>
      </c>
      <c r="AA74">
        <f t="shared" ref="AA74:AA92" si="13">(P74/P$94)</f>
        <v>6.250227678695211E-2</v>
      </c>
      <c r="AB74">
        <f t="shared" ref="AB74:AB92" si="14">(Q74/Q$94)</f>
        <v>5.6971092317998344E-2</v>
      </c>
      <c r="AC74">
        <f t="shared" ref="AC74:AC92" si="15">(R74/R$94)</f>
        <v>3.7222786066574635E-2</v>
      </c>
      <c r="AD74">
        <f t="shared" ref="AD74:AD92" si="16">(S74/S$94)</f>
        <v>0.17129380223154758</v>
      </c>
    </row>
    <row r="75" spans="1:30" x14ac:dyDescent="0.2">
      <c r="A75">
        <v>5</v>
      </c>
      <c r="B75" t="s">
        <v>14</v>
      </c>
      <c r="C75" s="2">
        <f t="shared" si="0"/>
        <v>6.7272751866449612E-2</v>
      </c>
      <c r="D75" s="2">
        <f t="shared" si="0"/>
        <v>0.13541050203922939</v>
      </c>
      <c r="E75" s="2">
        <f t="shared" si="0"/>
        <v>0.18223795770620979</v>
      </c>
      <c r="F75" s="2">
        <f t="shared" si="0"/>
        <v>0.2574319154137531</v>
      </c>
      <c r="G75" s="2">
        <f t="shared" si="0"/>
        <v>0.24659696394160649</v>
      </c>
      <c r="H75" s="2">
        <f t="shared" si="0"/>
        <v>0.20189651799465538</v>
      </c>
      <c r="I75" s="2">
        <f t="shared" si="0"/>
        <v>0.27665058363197337</v>
      </c>
      <c r="K75">
        <v>3</v>
      </c>
      <c r="L75">
        <f t="shared" si="1"/>
        <v>5</v>
      </c>
      <c r="M75">
        <f t="shared" si="2"/>
        <v>0.21842466005316891</v>
      </c>
      <c r="N75">
        <f t="shared" si="3"/>
        <v>0.41950128899816685</v>
      </c>
      <c r="O75">
        <f t="shared" si="4"/>
        <v>0.51940861253060899</v>
      </c>
      <c r="P75">
        <f t="shared" si="5"/>
        <v>0.65634979323905585</v>
      </c>
      <c r="Q75">
        <f t="shared" si="6"/>
        <v>0.64142886613759753</v>
      </c>
      <c r="R75">
        <f t="shared" si="7"/>
        <v>0.56739132928609037</v>
      </c>
      <c r="S75">
        <f t="shared" si="8"/>
        <v>0.74989701520539753</v>
      </c>
      <c r="V75">
        <v>3</v>
      </c>
      <c r="W75">
        <f t="shared" si="9"/>
        <v>5</v>
      </c>
      <c r="X75">
        <f t="shared" si="10"/>
        <v>1.7834839475319917E-2</v>
      </c>
      <c r="Y75">
        <f t="shared" si="11"/>
        <v>4.2859366273177824E-2</v>
      </c>
      <c r="Z75">
        <f t="shared" si="12"/>
        <v>6.2274080385850888E-2</v>
      </c>
      <c r="AA75">
        <f t="shared" si="13"/>
        <v>0.12695278851117894</v>
      </c>
      <c r="AB75">
        <f t="shared" si="14"/>
        <v>0.11805566795385458</v>
      </c>
      <c r="AC75">
        <f t="shared" si="15"/>
        <v>8.3557364092166533E-2</v>
      </c>
      <c r="AD75">
        <f t="shared" si="16"/>
        <v>0.25391320919863042</v>
      </c>
    </row>
    <row r="76" spans="1:30" x14ac:dyDescent="0.2">
      <c r="A76">
        <v>10</v>
      </c>
      <c r="B76" t="s">
        <v>14</v>
      </c>
      <c r="C76" s="2">
        <f t="shared" si="0"/>
        <v>7.9579401081849105E-2</v>
      </c>
      <c r="D76" s="2">
        <f t="shared" si="0"/>
        <v>0.14373014333439663</v>
      </c>
      <c r="E76" s="2">
        <f t="shared" si="0"/>
        <v>0.15850067610053545</v>
      </c>
      <c r="F76" s="2">
        <f t="shared" si="0"/>
        <v>0.1742960480461116</v>
      </c>
      <c r="G76" s="2">
        <f t="shared" si="0"/>
        <v>0.17033298882540943</v>
      </c>
      <c r="H76" s="2">
        <f t="shared" si="0"/>
        <v>0.15107180883637084</v>
      </c>
      <c r="I76" s="2">
        <f t="shared" si="0"/>
        <v>0.13669542544552382</v>
      </c>
      <c r="K76">
        <v>5</v>
      </c>
      <c r="L76">
        <f t="shared" si="1"/>
        <v>10</v>
      </c>
      <c r="M76">
        <f t="shared" si="2"/>
        <v>0.43063754507532659</v>
      </c>
      <c r="N76">
        <f t="shared" si="3"/>
        <v>0.74212585051444513</v>
      </c>
      <c r="O76">
        <f t="shared" si="4"/>
        <v>0.75292232652635493</v>
      </c>
      <c r="P76">
        <f t="shared" si="5"/>
        <v>0.74064356597991976</v>
      </c>
      <c r="Q76">
        <f t="shared" si="6"/>
        <v>0.73842823083838449</v>
      </c>
      <c r="R76">
        <f t="shared" si="7"/>
        <v>0.70759710044125734</v>
      </c>
      <c r="S76">
        <f t="shared" si="8"/>
        <v>0.61755090837012516</v>
      </c>
      <c r="V76">
        <v>5</v>
      </c>
      <c r="W76">
        <f t="shared" si="9"/>
        <v>10</v>
      </c>
      <c r="X76">
        <f t="shared" si="10"/>
        <v>3.5162474267304546E-2</v>
      </c>
      <c r="Y76">
        <f t="shared" si="11"/>
        <v>7.5821086805125906E-2</v>
      </c>
      <c r="Z76">
        <f t="shared" si="12"/>
        <v>9.0271020455289411E-2</v>
      </c>
      <c r="AA76">
        <f t="shared" si="13"/>
        <v>0.14325709699700892</v>
      </c>
      <c r="AB76">
        <f t="shared" si="14"/>
        <v>0.13590850463675255</v>
      </c>
      <c r="AC76">
        <f t="shared" si="15"/>
        <v>0.10420488558844272</v>
      </c>
      <c r="AD76">
        <f t="shared" si="16"/>
        <v>0.20910115630322779</v>
      </c>
    </row>
    <row r="77" spans="1:30" x14ac:dyDescent="0.2">
      <c r="A77">
        <v>15</v>
      </c>
      <c r="B77" t="s">
        <v>14</v>
      </c>
      <c r="C77" s="2">
        <f t="shared" si="0"/>
        <v>8.9278016251610068E-2</v>
      </c>
      <c r="D77" s="2">
        <f t="shared" si="0"/>
        <v>0.13284866022001596</v>
      </c>
      <c r="E77" s="2">
        <f t="shared" si="0"/>
        <v>0.13020314253895682</v>
      </c>
      <c r="F77" s="2">
        <f t="shared" si="0"/>
        <v>0.11800833752748224</v>
      </c>
      <c r="G77" s="2">
        <f t="shared" si="0"/>
        <v>0.11765484302177924</v>
      </c>
      <c r="H77" s="2">
        <f t="shared" si="0"/>
        <v>0.11304153064044985</v>
      </c>
      <c r="I77" s="2">
        <f t="shared" si="0"/>
        <v>6.7542381774224489E-2</v>
      </c>
      <c r="K77">
        <v>7</v>
      </c>
      <c r="L77">
        <f t="shared" si="1"/>
        <v>15</v>
      </c>
      <c r="M77">
        <f t="shared" si="2"/>
        <v>0.67636915225767591</v>
      </c>
      <c r="N77">
        <f t="shared" si="3"/>
        <v>0.96031766013445374</v>
      </c>
      <c r="O77">
        <f t="shared" si="4"/>
        <v>0.8659016325899439</v>
      </c>
      <c r="P77">
        <f t="shared" si="5"/>
        <v>0.70204094505935544</v>
      </c>
      <c r="Q77">
        <f t="shared" si="6"/>
        <v>0.71408082165262898</v>
      </c>
      <c r="R77">
        <f t="shared" si="7"/>
        <v>0.74125678309819298</v>
      </c>
      <c r="S77">
        <f t="shared" si="8"/>
        <v>0.42719207841148688</v>
      </c>
      <c r="V77">
        <v>7</v>
      </c>
      <c r="W77">
        <f t="shared" si="9"/>
        <v>15</v>
      </c>
      <c r="X77">
        <f t="shared" si="10"/>
        <v>5.5226984231714071E-2</v>
      </c>
      <c r="Y77">
        <f t="shared" si="11"/>
        <v>9.8113182041935296E-2</v>
      </c>
      <c r="Z77">
        <f t="shared" si="12"/>
        <v>0.10381658404050427</v>
      </c>
      <c r="AA77">
        <f t="shared" si="13"/>
        <v>0.13579048327946536</v>
      </c>
      <c r="AB77">
        <f t="shared" si="14"/>
        <v>0.13142733796946759</v>
      </c>
      <c r="AC77">
        <f t="shared" si="15"/>
        <v>0.10916180722933411</v>
      </c>
      <c r="AD77">
        <f t="shared" si="16"/>
        <v>0.14464614390281794</v>
      </c>
    </row>
    <row r="78" spans="1:30" x14ac:dyDescent="0.2">
      <c r="A78">
        <v>20</v>
      </c>
      <c r="B78" t="s">
        <v>14</v>
      </c>
      <c r="C78" s="2">
        <f t="shared" si="0"/>
        <v>9.4988447503730533E-2</v>
      </c>
      <c r="D78" s="2">
        <f t="shared" si="0"/>
        <v>0.1143045710959744</v>
      </c>
      <c r="E78" s="2">
        <f t="shared" si="0"/>
        <v>0.10384208243875402</v>
      </c>
      <c r="F78" s="2">
        <f t="shared" si="0"/>
        <v>7.9898356171081597E-2</v>
      </c>
      <c r="G78" s="2">
        <f t="shared" si="0"/>
        <v>8.1268239240891701E-2</v>
      </c>
      <c r="H78" s="2">
        <f t="shared" si="0"/>
        <v>8.4584859001564691E-2</v>
      </c>
      <c r="I78" s="2">
        <f t="shared" si="0"/>
        <v>3.3373269960326066E-2</v>
      </c>
      <c r="K78">
        <v>9</v>
      </c>
      <c r="L78">
        <f t="shared" si="1"/>
        <v>20</v>
      </c>
      <c r="M78">
        <f t="shared" si="2"/>
        <v>0.92524025460572901</v>
      </c>
      <c r="N78">
        <f t="shared" si="3"/>
        <v>1.0623455535063038</v>
      </c>
      <c r="O78">
        <f t="shared" si="4"/>
        <v>0.88790182858756495</v>
      </c>
      <c r="P78">
        <f t="shared" si="5"/>
        <v>0.61112783318351771</v>
      </c>
      <c r="Q78">
        <f t="shared" si="6"/>
        <v>0.63416589218382957</v>
      </c>
      <c r="R78">
        <f t="shared" si="7"/>
        <v>0.71312842930225451</v>
      </c>
      <c r="S78">
        <f t="shared" si="8"/>
        <v>0.27138763131096549</v>
      </c>
      <c r="V78">
        <v>9</v>
      </c>
      <c r="W78">
        <f t="shared" si="9"/>
        <v>20</v>
      </c>
      <c r="X78">
        <f t="shared" si="10"/>
        <v>7.5547840674127675E-2</v>
      </c>
      <c r="Y78">
        <f t="shared" si="11"/>
        <v>0.10853710913533682</v>
      </c>
      <c r="Z78">
        <f t="shared" si="12"/>
        <v>0.106454279952756</v>
      </c>
      <c r="AA78">
        <f t="shared" si="13"/>
        <v>0.11820584596601584</v>
      </c>
      <c r="AB78">
        <f t="shared" si="14"/>
        <v>0.11671890983972943</v>
      </c>
      <c r="AC78">
        <f t="shared" si="15"/>
        <v>0.10501946141238663</v>
      </c>
      <c r="AD78">
        <f t="shared" si="16"/>
        <v>9.1891157059890066E-2</v>
      </c>
    </row>
    <row r="79" spans="1:30" x14ac:dyDescent="0.2">
      <c r="A79">
        <v>25</v>
      </c>
      <c r="B79" t="s">
        <v>14</v>
      </c>
      <c r="C79" s="2">
        <f t="shared" si="0"/>
        <v>9.5847202130498688E-2</v>
      </c>
      <c r="D79" s="2">
        <f t="shared" si="0"/>
        <v>9.3949300368479219E-2</v>
      </c>
      <c r="E79" s="2">
        <f t="shared" si="0"/>
        <v>8.1268239240891701E-2</v>
      </c>
      <c r="F79" s="2">
        <f t="shared" si="0"/>
        <v>5.4095731306733674E-2</v>
      </c>
      <c r="G79" s="2">
        <f t="shared" si="0"/>
        <v>5.6134762834133725E-2</v>
      </c>
      <c r="H79" s="2">
        <f t="shared" si="0"/>
        <v>6.3291768359640704E-2</v>
      </c>
      <c r="I79" s="2">
        <f t="shared" si="0"/>
        <v>1.6490018838362035E-2</v>
      </c>
      <c r="K79">
        <v>11</v>
      </c>
      <c r="L79">
        <f t="shared" si="1"/>
        <v>25</v>
      </c>
      <c r="M79">
        <f t="shared" si="2"/>
        <v>1.1410727799748162</v>
      </c>
      <c r="N79">
        <f t="shared" si="3"/>
        <v>1.0672002838942434</v>
      </c>
      <c r="O79">
        <f t="shared" si="4"/>
        <v>0.84930286222192919</v>
      </c>
      <c r="P79">
        <f t="shared" si="5"/>
        <v>0.50571681191052809</v>
      </c>
      <c r="Q79">
        <f t="shared" si="6"/>
        <v>0.5353824092841134</v>
      </c>
      <c r="R79">
        <f t="shared" si="7"/>
        <v>0.65218758324060422</v>
      </c>
      <c r="S79">
        <f t="shared" si="8"/>
        <v>0.16389383459510429</v>
      </c>
      <c r="V79">
        <v>11</v>
      </c>
      <c r="W79">
        <f t="shared" si="9"/>
        <v>25</v>
      </c>
      <c r="X79">
        <f t="shared" si="10"/>
        <v>9.3171026822493785E-2</v>
      </c>
      <c r="Y79">
        <f t="shared" si="11"/>
        <v>0.10903310443573538</v>
      </c>
      <c r="Z79">
        <f t="shared" si="12"/>
        <v>0.10182648773623262</v>
      </c>
      <c r="AA79">
        <f t="shared" si="13"/>
        <v>9.7816987420976026E-2</v>
      </c>
      <c r="AB79">
        <f t="shared" si="14"/>
        <v>9.8537704296615514E-2</v>
      </c>
      <c r="AC79">
        <f t="shared" si="15"/>
        <v>9.6044956164192286E-2</v>
      </c>
      <c r="AD79">
        <f t="shared" si="16"/>
        <v>5.5494032735300465E-2</v>
      </c>
    </row>
    <row r="80" spans="1:30" x14ac:dyDescent="0.2">
      <c r="A80">
        <v>30</v>
      </c>
      <c r="B80" t="s">
        <v>14</v>
      </c>
      <c r="C80" s="2">
        <f t="shared" si="0"/>
        <v>9.1721359391499752E-2</v>
      </c>
      <c r="D80" s="2">
        <f t="shared" si="0"/>
        <v>7.4748870229152234E-2</v>
      </c>
      <c r="E80" s="2">
        <f t="shared" si="0"/>
        <v>6.2753857885610137E-2</v>
      </c>
      <c r="F80" s="2">
        <f t="shared" si="0"/>
        <v>3.6625886762229616E-2</v>
      </c>
      <c r="G80" s="2">
        <f t="shared" si="0"/>
        <v>3.8774207831722009E-2</v>
      </c>
      <c r="H80" s="2">
        <f t="shared" si="0"/>
        <v>4.7358924391140929E-2</v>
      </c>
      <c r="I80" s="2">
        <f t="shared" si="0"/>
        <v>8.1478596976799818E-3</v>
      </c>
      <c r="K80">
        <v>13</v>
      </c>
      <c r="L80">
        <f t="shared" si="1"/>
        <v>30</v>
      </c>
      <c r="M80">
        <f t="shared" si="2"/>
        <v>1.2904912239365207</v>
      </c>
      <c r="N80">
        <f t="shared" si="3"/>
        <v>1.003477598907903</v>
      </c>
      <c r="O80">
        <f t="shared" si="4"/>
        <v>0.77505555676114457</v>
      </c>
      <c r="P80">
        <f t="shared" si="5"/>
        <v>0.40465341569937618</v>
      </c>
      <c r="Q80">
        <f t="shared" si="6"/>
        <v>0.43704464831403567</v>
      </c>
      <c r="R80">
        <f t="shared" si="7"/>
        <v>0.57673697281443126</v>
      </c>
      <c r="S80">
        <f t="shared" si="8"/>
        <v>9.5705230566824132E-2</v>
      </c>
      <c r="V80">
        <v>13</v>
      </c>
      <c r="W80">
        <f t="shared" si="9"/>
        <v>30</v>
      </c>
      <c r="X80">
        <f t="shared" si="10"/>
        <v>0.10537136153772424</v>
      </c>
      <c r="Y80">
        <f t="shared" si="11"/>
        <v>0.10252272182818199</v>
      </c>
      <c r="Z80">
        <f t="shared" si="12"/>
        <v>9.2924666401059342E-2</v>
      </c>
      <c r="AA80">
        <f t="shared" si="13"/>
        <v>7.8269057189903637E-2</v>
      </c>
      <c r="AB80">
        <f t="shared" si="14"/>
        <v>8.0438534350748728E-2</v>
      </c>
      <c r="AC80">
        <f t="shared" si="15"/>
        <v>8.4933658192317366E-2</v>
      </c>
      <c r="AD80">
        <f t="shared" si="16"/>
        <v>3.2405546011756228E-2</v>
      </c>
    </row>
    <row r="81" spans="1:30" x14ac:dyDescent="0.2">
      <c r="A81">
        <v>35</v>
      </c>
      <c r="B81" t="s">
        <v>14</v>
      </c>
      <c r="C81" s="2">
        <f t="shared" si="0"/>
        <v>8.3242270606464053E-2</v>
      </c>
      <c r="D81" s="2">
        <f t="shared" si="0"/>
        <v>5.8025263873441507E-2</v>
      </c>
      <c r="E81" s="2">
        <f t="shared" si="0"/>
        <v>4.7967150953928318E-2</v>
      </c>
      <c r="F81" s="2">
        <f t="shared" si="0"/>
        <v>2.4797808416958885E-2</v>
      </c>
      <c r="G81" s="2">
        <f t="shared" si="0"/>
        <v>2.6782676492638175E-2</v>
      </c>
      <c r="H81" s="2">
        <f t="shared" si="0"/>
        <v>3.5436957721598626E-2</v>
      </c>
      <c r="I81" s="2">
        <f t="shared" si="0"/>
        <v>4.0259273384597328E-3</v>
      </c>
      <c r="K81">
        <v>15</v>
      </c>
      <c r="L81">
        <f t="shared" si="1"/>
        <v>35</v>
      </c>
      <c r="M81">
        <f t="shared" si="2"/>
        <v>1.3513766090144625</v>
      </c>
      <c r="N81">
        <f t="shared" si="3"/>
        <v>0.89881038112965284</v>
      </c>
      <c r="O81">
        <f t="shared" si="4"/>
        <v>0.68357195278141591</v>
      </c>
      <c r="P81">
        <f t="shared" si="5"/>
        <v>0.3161231271789533</v>
      </c>
      <c r="Q81">
        <f t="shared" si="6"/>
        <v>0.34832508762903863</v>
      </c>
      <c r="R81">
        <f t="shared" si="7"/>
        <v>0.49794376711452476</v>
      </c>
      <c r="S81">
        <f t="shared" si="8"/>
        <v>5.4563971181802437E-2</v>
      </c>
      <c r="V81">
        <v>15</v>
      </c>
      <c r="W81">
        <f t="shared" si="9"/>
        <v>35</v>
      </c>
      <c r="X81">
        <f t="shared" si="10"/>
        <v>0.11034278312077171</v>
      </c>
      <c r="Y81">
        <f t="shared" si="11"/>
        <v>9.1829141757747229E-2</v>
      </c>
      <c r="Z81">
        <f t="shared" si="12"/>
        <v>8.1956312833596612E-2</v>
      </c>
      <c r="AA81">
        <f t="shared" si="13"/>
        <v>6.1145311420285682E-2</v>
      </c>
      <c r="AB81">
        <f t="shared" si="14"/>
        <v>6.4109604441016474E-2</v>
      </c>
      <c r="AC81">
        <f t="shared" si="15"/>
        <v>7.3330110099786683E-2</v>
      </c>
      <c r="AD81">
        <f t="shared" si="16"/>
        <v>1.847522092830077E-2</v>
      </c>
    </row>
    <row r="82" spans="1:30" x14ac:dyDescent="0.2">
      <c r="A82">
        <v>40</v>
      </c>
      <c r="B82" t="s">
        <v>14</v>
      </c>
      <c r="C82" s="2">
        <f t="shared" si="0"/>
        <v>7.1647286286716724E-2</v>
      </c>
      <c r="D82" s="2">
        <f t="shared" si="0"/>
        <v>4.4173267332889968E-2</v>
      </c>
      <c r="E82" s="2">
        <f t="shared" si="0"/>
        <v>3.637066120797245E-2</v>
      </c>
      <c r="F82" s="2">
        <f t="shared" si="0"/>
        <v>1.6789526661190469E-2</v>
      </c>
      <c r="G82" s="2">
        <f t="shared" si="0"/>
        <v>1.8499714119819242E-2</v>
      </c>
      <c r="H82" s="2">
        <f t="shared" si="0"/>
        <v>2.651618440889417E-2</v>
      </c>
      <c r="I82" s="2">
        <f t="shared" si="0"/>
        <v>1.9892452172651618E-3</v>
      </c>
      <c r="K82">
        <v>17</v>
      </c>
      <c r="L82">
        <f t="shared" si="1"/>
        <v>40</v>
      </c>
      <c r="M82">
        <f t="shared" si="2"/>
        <v>1.31822604340406</v>
      </c>
      <c r="N82">
        <f t="shared" si="3"/>
        <v>0.77547560740074906</v>
      </c>
      <c r="O82">
        <f t="shared" si="4"/>
        <v>0.58742059651892065</v>
      </c>
      <c r="P82">
        <f t="shared" si="5"/>
        <v>0.24257111463695041</v>
      </c>
      <c r="Q82">
        <f t="shared" si="6"/>
        <v>0.27268010908066076</v>
      </c>
      <c r="R82">
        <f t="shared" si="7"/>
        <v>0.42227227025257447</v>
      </c>
      <c r="S82">
        <f t="shared" si="8"/>
        <v>3.0555262807246086E-2</v>
      </c>
      <c r="V82">
        <v>17</v>
      </c>
      <c r="W82">
        <f t="shared" si="9"/>
        <v>40</v>
      </c>
      <c r="X82">
        <f t="shared" si="10"/>
        <v>0.10763596871605352</v>
      </c>
      <c r="Y82">
        <f t="shared" si="11"/>
        <v>7.9228345574044207E-2</v>
      </c>
      <c r="Z82">
        <f t="shared" si="12"/>
        <v>7.0428322837577134E-2</v>
      </c>
      <c r="AA82">
        <f t="shared" si="13"/>
        <v>4.6918700565826983E-2</v>
      </c>
      <c r="AB82">
        <f t="shared" si="14"/>
        <v>5.0187065339123225E-2</v>
      </c>
      <c r="AC82">
        <f t="shared" si="15"/>
        <v>6.2186283100088072E-2</v>
      </c>
      <c r="AD82">
        <f t="shared" si="16"/>
        <v>1.0345933748209914E-2</v>
      </c>
    </row>
    <row r="83" spans="1:30" x14ac:dyDescent="0.2">
      <c r="A83">
        <v>45</v>
      </c>
      <c r="B83" t="s">
        <v>14</v>
      </c>
      <c r="C83" s="2">
        <f t="shared" si="0"/>
        <v>5.8484120853038349E-2</v>
      </c>
      <c r="D83" s="2">
        <f t="shared" si="0"/>
        <v>3.3096323498023369E-2</v>
      </c>
      <c r="E83" s="2">
        <f t="shared" si="0"/>
        <v>2.739688500807087E-2</v>
      </c>
      <c r="F83" s="2">
        <f t="shared" si="0"/>
        <v>1.1367464445529229E-2</v>
      </c>
      <c r="G83" s="2">
        <f t="shared" si="0"/>
        <v>1.2778387649535773E-2</v>
      </c>
      <c r="H83" s="2">
        <f t="shared" si="0"/>
        <v>1.9841094744370281E-2</v>
      </c>
      <c r="I83" s="2">
        <f t="shared" si="0"/>
        <v>9.8290311814873779E-4</v>
      </c>
      <c r="K83">
        <v>19</v>
      </c>
      <c r="L83">
        <f t="shared" si="1"/>
        <v>45</v>
      </c>
      <c r="M83">
        <f t="shared" si="2"/>
        <v>1.2026320878655772</v>
      </c>
      <c r="N83">
        <f t="shared" si="3"/>
        <v>0.64937124036233185</v>
      </c>
      <c r="O83">
        <f t="shared" si="4"/>
        <v>0.49454275052882113</v>
      </c>
      <c r="P83">
        <f t="shared" si="5"/>
        <v>0.18355613962782141</v>
      </c>
      <c r="Q83">
        <f t="shared" si="6"/>
        <v>0.21050827881500433</v>
      </c>
      <c r="R83">
        <f t="shared" si="7"/>
        <v>0.35314400900853743</v>
      </c>
      <c r="S83">
        <f t="shared" si="8"/>
        <v>1.6873807617205378E-2</v>
      </c>
      <c r="V83">
        <v>19</v>
      </c>
      <c r="W83">
        <f t="shared" si="9"/>
        <v>45</v>
      </c>
      <c r="X83">
        <f t="shared" si="10"/>
        <v>9.8197475640938864E-2</v>
      </c>
      <c r="Y83">
        <f t="shared" si="11"/>
        <v>6.6344587174983857E-2</v>
      </c>
      <c r="Z83">
        <f t="shared" si="12"/>
        <v>5.9292807738833393E-2</v>
      </c>
      <c r="AA83">
        <f t="shared" si="13"/>
        <v>3.5503879203039282E-2</v>
      </c>
      <c r="AB83">
        <f t="shared" si="14"/>
        <v>3.8744273569986915E-2</v>
      </c>
      <c r="AC83">
        <f t="shared" si="15"/>
        <v>5.2006051228913421E-2</v>
      </c>
      <c r="AD83">
        <f t="shared" si="16"/>
        <v>5.7134280529325589E-3</v>
      </c>
    </row>
    <row r="84" spans="1:30" x14ac:dyDescent="0.2">
      <c r="A84">
        <v>50</v>
      </c>
      <c r="B84" t="s">
        <v>14</v>
      </c>
      <c r="C84" s="2">
        <f t="shared" ref="C84:I92" si="17">EXP(C$12*$A84+C$15*SQRT($A84)+C$18*$A84*$A84+C$21)</f>
        <v>4.5275012460254907E-2</v>
      </c>
      <c r="D84" s="2">
        <f t="shared" si="17"/>
        <v>2.4468359017180308E-2</v>
      </c>
      <c r="E84" s="2">
        <f t="shared" si="17"/>
        <v>2.0523862819002356E-2</v>
      </c>
      <c r="F84" s="2">
        <f t="shared" si="17"/>
        <v>7.6964199484590287E-3</v>
      </c>
      <c r="G84" s="2">
        <f t="shared" si="17"/>
        <v>8.8264710397267295E-3</v>
      </c>
      <c r="H84" s="2">
        <f t="shared" si="17"/>
        <v>1.4846368338086818E-2</v>
      </c>
      <c r="I84" s="2">
        <f t="shared" si="17"/>
        <v>4.8566085834038879E-4</v>
      </c>
      <c r="K84">
        <v>21</v>
      </c>
      <c r="L84">
        <f t="shared" si="1"/>
        <v>50</v>
      </c>
      <c r="M84">
        <f t="shared" si="2"/>
        <v>1.0290088114154106</v>
      </c>
      <c r="N84">
        <f t="shared" si="3"/>
        <v>0.53062026910455962</v>
      </c>
      <c r="O84">
        <f t="shared" si="4"/>
        <v>0.40947505510573007</v>
      </c>
      <c r="P84">
        <f t="shared" si="5"/>
        <v>0.13735983526413631</v>
      </c>
      <c r="Q84">
        <f t="shared" si="6"/>
        <v>0.1607111155936303</v>
      </c>
      <c r="R84">
        <f t="shared" si="7"/>
        <v>0.29206003773916978</v>
      </c>
      <c r="S84">
        <f t="shared" si="8"/>
        <v>9.2151238686423789E-3</v>
      </c>
      <c r="V84">
        <v>21</v>
      </c>
      <c r="W84">
        <f t="shared" si="9"/>
        <v>50</v>
      </c>
      <c r="X84">
        <f t="shared" si="10"/>
        <v>8.4020764715011118E-2</v>
      </c>
      <c r="Y84">
        <f t="shared" si="11"/>
        <v>5.4212106284192804E-2</v>
      </c>
      <c r="Z84">
        <f t="shared" si="12"/>
        <v>4.9093684398912901E-2</v>
      </c>
      <c r="AA84">
        <f t="shared" si="13"/>
        <v>2.6568476589535435E-2</v>
      </c>
      <c r="AB84">
        <f t="shared" si="14"/>
        <v>2.9579052488331817E-2</v>
      </c>
      <c r="AC84">
        <f t="shared" si="15"/>
        <v>4.301046852592777E-2</v>
      </c>
      <c r="AD84">
        <f t="shared" si="16"/>
        <v>3.1202173461231868E-3</v>
      </c>
    </row>
    <row r="85" spans="1:30" x14ac:dyDescent="0.2">
      <c r="A85">
        <v>55</v>
      </c>
      <c r="B85" t="s">
        <v>14</v>
      </c>
      <c r="C85" s="2">
        <f t="shared" si="17"/>
        <v>3.3240043511018627E-2</v>
      </c>
      <c r="D85" s="2">
        <f t="shared" si="17"/>
        <v>1.7884862911760238E-2</v>
      </c>
      <c r="E85" s="2">
        <f t="shared" si="17"/>
        <v>1.5302984550919054E-2</v>
      </c>
      <c r="F85" s="2">
        <f t="shared" si="17"/>
        <v>5.2109140351289975E-3</v>
      </c>
      <c r="G85" s="2">
        <f t="shared" si="17"/>
        <v>6.0967465655156379E-3</v>
      </c>
      <c r="H85" s="2">
        <f t="shared" si="17"/>
        <v>1.1108996538242306E-2</v>
      </c>
      <c r="I85" s="2">
        <f t="shared" si="17"/>
        <v>2.3996919428658349E-4</v>
      </c>
      <c r="K85">
        <v>23</v>
      </c>
      <c r="L85">
        <f t="shared" si="1"/>
        <v>55</v>
      </c>
      <c r="M85">
        <f t="shared" si="2"/>
        <v>0.82742881310294558</v>
      </c>
      <c r="N85">
        <f t="shared" si="3"/>
        <v>0.42478888869319437</v>
      </c>
      <c r="O85">
        <f t="shared" si="4"/>
        <v>0.33438980492680193</v>
      </c>
      <c r="P85">
        <f t="shared" si="5"/>
        <v>0.10185760367366362</v>
      </c>
      <c r="Q85">
        <f t="shared" si="6"/>
        <v>0.1215809405560772</v>
      </c>
      <c r="R85">
        <f t="shared" si="7"/>
        <v>0.23935101776544573</v>
      </c>
      <c r="S85">
        <f t="shared" si="8"/>
        <v>4.9869166416932576E-3</v>
      </c>
      <c r="V85">
        <v>23</v>
      </c>
      <c r="W85">
        <f t="shared" si="9"/>
        <v>55</v>
      </c>
      <c r="X85">
        <f t="shared" si="10"/>
        <v>6.7561327806820698E-2</v>
      </c>
      <c r="Y85">
        <f t="shared" si="11"/>
        <v>4.3399586715828525E-2</v>
      </c>
      <c r="Z85">
        <f t="shared" si="12"/>
        <v>4.0091398351608007E-2</v>
      </c>
      <c r="AA85">
        <f t="shared" si="13"/>
        <v>1.970154778844934E-2</v>
      </c>
      <c r="AB85">
        <f t="shared" si="14"/>
        <v>2.2377101975835537E-2</v>
      </c>
      <c r="AC85">
        <f t="shared" si="15"/>
        <v>3.524823011028741E-2</v>
      </c>
      <c r="AD85">
        <f t="shared" si="16"/>
        <v>1.6885572056205157E-3</v>
      </c>
    </row>
    <row r="86" spans="1:30" x14ac:dyDescent="0.2">
      <c r="A86">
        <v>60</v>
      </c>
      <c r="B86" t="s">
        <v>14</v>
      </c>
      <c r="C86" s="2">
        <f t="shared" si="17"/>
        <v>2.3144456203015532E-2</v>
      </c>
      <c r="D86" s="2">
        <f t="shared" si="17"/>
        <v>1.2944434086859786E-2</v>
      </c>
      <c r="E86" s="2">
        <f t="shared" si="17"/>
        <v>1.1363840774203661E-2</v>
      </c>
      <c r="F86" s="2">
        <f t="shared" si="17"/>
        <v>3.5280851699030598E-3</v>
      </c>
      <c r="G86" s="2">
        <f t="shared" si="17"/>
        <v>4.2112321579970352E-3</v>
      </c>
      <c r="H86" s="2">
        <f t="shared" si="17"/>
        <v>8.3124573819231187E-3</v>
      </c>
      <c r="I86" s="2">
        <f t="shared" si="17"/>
        <v>1.1857083645433882E-4</v>
      </c>
      <c r="K86">
        <v>25</v>
      </c>
      <c r="L86">
        <f t="shared" si="1"/>
        <v>60</v>
      </c>
      <c r="M86">
        <f t="shared" si="2"/>
        <v>0.62622184044328777</v>
      </c>
      <c r="N86">
        <f t="shared" si="3"/>
        <v>0.33418178446358121</v>
      </c>
      <c r="O86">
        <f t="shared" si="4"/>
        <v>0.2699070327170538</v>
      </c>
      <c r="P86">
        <f t="shared" si="5"/>
        <v>7.4960207377351609E-2</v>
      </c>
      <c r="Q86">
        <f t="shared" si="6"/>
        <v>9.1282749557893478E-2</v>
      </c>
      <c r="R86">
        <f t="shared" si="7"/>
        <v>0.19467135484427497</v>
      </c>
      <c r="S86">
        <f t="shared" si="8"/>
        <v>2.6783459475666102E-3</v>
      </c>
      <c r="V86">
        <v>25</v>
      </c>
      <c r="W86">
        <f t="shared" si="9"/>
        <v>60</v>
      </c>
      <c r="X86">
        <f t="shared" si="10"/>
        <v>5.1132349238986054E-2</v>
      </c>
      <c r="Y86">
        <f t="shared" si="11"/>
        <v>3.4142492234896044E-2</v>
      </c>
      <c r="Z86">
        <f t="shared" si="12"/>
        <v>3.2360287924832545E-2</v>
      </c>
      <c r="AA86">
        <f t="shared" si="13"/>
        <v>1.4498987356982327E-2</v>
      </c>
      <c r="AB86">
        <f t="shared" si="14"/>
        <v>1.6800687559654987E-2</v>
      </c>
      <c r="AC86">
        <f t="shared" si="15"/>
        <v>2.8668441753428111E-2</v>
      </c>
      <c r="AD86">
        <f t="shared" si="16"/>
        <v>9.068810798033561E-4</v>
      </c>
    </row>
    <row r="87" spans="1:30" x14ac:dyDescent="0.2">
      <c r="A87">
        <v>65</v>
      </c>
      <c r="B87" t="s">
        <v>14</v>
      </c>
      <c r="C87" s="2">
        <f t="shared" si="17"/>
        <v>1.5283216705863457E-2</v>
      </c>
      <c r="D87" s="2">
        <f t="shared" si="17"/>
        <v>9.2880140155488459E-3</v>
      </c>
      <c r="E87" s="2">
        <f t="shared" si="17"/>
        <v>8.4085881492950206E-3</v>
      </c>
      <c r="F87" s="2">
        <f t="shared" si="17"/>
        <v>2.3887143180978906E-3</v>
      </c>
      <c r="G87" s="2">
        <f t="shared" si="17"/>
        <v>2.9088426258125841E-3</v>
      </c>
      <c r="H87" s="2">
        <f t="shared" si="17"/>
        <v>6.2199090159425728E-3</v>
      </c>
      <c r="I87" s="2">
        <f t="shared" si="17"/>
        <v>5.8586866948811498E-5</v>
      </c>
      <c r="K87">
        <v>27</v>
      </c>
      <c r="L87">
        <f t="shared" si="1"/>
        <v>65</v>
      </c>
      <c r="M87">
        <f t="shared" si="2"/>
        <v>0.44660106637406455</v>
      </c>
      <c r="N87">
        <f t="shared" si="3"/>
        <v>0.25896813125796453</v>
      </c>
      <c r="O87">
        <f t="shared" si="4"/>
        <v>0.21569292385875116</v>
      </c>
      <c r="P87">
        <f t="shared" si="5"/>
        <v>5.481250961613543E-2</v>
      </c>
      <c r="Q87">
        <f t="shared" si="6"/>
        <v>6.8096299227777518E-2</v>
      </c>
      <c r="R87">
        <f t="shared" si="7"/>
        <v>0.15731872107962039</v>
      </c>
      <c r="S87">
        <f t="shared" si="8"/>
        <v>1.4292651933182007E-3</v>
      </c>
      <c r="V87">
        <v>27</v>
      </c>
      <c r="W87">
        <f t="shared" si="9"/>
        <v>65</v>
      </c>
      <c r="X87">
        <f t="shared" si="10"/>
        <v>3.6465929837543445E-2</v>
      </c>
      <c r="Y87">
        <f t="shared" si="11"/>
        <v>2.6458106999318408E-2</v>
      </c>
      <c r="Z87">
        <f t="shared" si="12"/>
        <v>2.5860330681843527E-2</v>
      </c>
      <c r="AA87">
        <f t="shared" si="13"/>
        <v>1.0601970188371402E-2</v>
      </c>
      <c r="AB87">
        <f t="shared" si="14"/>
        <v>1.2533196609826864E-2</v>
      </c>
      <c r="AC87">
        <f t="shared" si="15"/>
        <v>2.316767454360549E-2</v>
      </c>
      <c r="AD87">
        <f t="shared" si="16"/>
        <v>4.8394553475042705E-4</v>
      </c>
    </row>
    <row r="88" spans="1:30" x14ac:dyDescent="0.2">
      <c r="A88">
        <v>70</v>
      </c>
      <c r="B88" t="s">
        <v>14</v>
      </c>
      <c r="C88" s="2">
        <f t="shared" si="17"/>
        <v>9.5711683148690246E-3</v>
      </c>
      <c r="D88" s="2">
        <f t="shared" si="17"/>
        <v>6.6134975850606651E-3</v>
      </c>
      <c r="E88" s="2">
        <f t="shared" si="17"/>
        <v>6.2022017457773939E-3</v>
      </c>
      <c r="F88" s="2">
        <f t="shared" si="17"/>
        <v>1.6172954502803732E-3</v>
      </c>
      <c r="G88" s="2">
        <f t="shared" si="17"/>
        <v>2.0092374640700602E-3</v>
      </c>
      <c r="H88" s="2">
        <f t="shared" si="17"/>
        <v>4.6541313102832684E-3</v>
      </c>
      <c r="I88" s="2">
        <f t="shared" si="17"/>
        <v>2.8948273298211517E-5</v>
      </c>
      <c r="K88">
        <v>29</v>
      </c>
      <c r="L88">
        <f t="shared" si="1"/>
        <v>70</v>
      </c>
      <c r="M88">
        <f t="shared" si="2"/>
        <v>0.30040293529975659</v>
      </c>
      <c r="N88">
        <f t="shared" si="3"/>
        <v>0.19805640596115723</v>
      </c>
      <c r="O88">
        <f t="shared" si="4"/>
        <v>0.17088067029642409</v>
      </c>
      <c r="P88">
        <f t="shared" si="5"/>
        <v>3.9860163217738401E-2</v>
      </c>
      <c r="Q88">
        <f t="shared" si="6"/>
        <v>5.052063327086731E-2</v>
      </c>
      <c r="R88">
        <f t="shared" si="7"/>
        <v>0.12643556136948456</v>
      </c>
      <c r="S88">
        <f t="shared" si="8"/>
        <v>7.5852420074915407E-4</v>
      </c>
      <c r="V88">
        <v>29</v>
      </c>
      <c r="W88">
        <f t="shared" si="9"/>
        <v>70</v>
      </c>
      <c r="X88">
        <f t="shared" si="10"/>
        <v>2.4528540539707915E-2</v>
      </c>
      <c r="Y88">
        <f t="shared" si="11"/>
        <v>2.0234912903630033E-2</v>
      </c>
      <c r="Z88">
        <f t="shared" si="12"/>
        <v>2.0487601363753844E-2</v>
      </c>
      <c r="AA88">
        <f t="shared" si="13"/>
        <v>7.7098506362437945E-3</v>
      </c>
      <c r="AB88">
        <f t="shared" si="14"/>
        <v>9.2983765170377222E-3</v>
      </c>
      <c r="AC88">
        <f t="shared" si="15"/>
        <v>1.8619639903274917E-2</v>
      </c>
      <c r="AD88">
        <f t="shared" si="16"/>
        <v>2.5683435213339357E-4</v>
      </c>
    </row>
    <row r="89" spans="1:30" x14ac:dyDescent="0.2">
      <c r="A89">
        <v>75</v>
      </c>
      <c r="B89" t="s">
        <v>14</v>
      </c>
      <c r="C89" s="2">
        <f t="shared" si="17"/>
        <v>5.684568819219595E-3</v>
      </c>
      <c r="D89" s="2">
        <f t="shared" si="17"/>
        <v>4.6769134413847755E-3</v>
      </c>
      <c r="E89" s="2">
        <f t="shared" si="17"/>
        <v>4.5618242530137201E-3</v>
      </c>
      <c r="F89" s="2">
        <f t="shared" si="17"/>
        <v>1.0950010027069316E-3</v>
      </c>
      <c r="G89" s="2">
        <f t="shared" si="17"/>
        <v>1.3878492948359289E-3</v>
      </c>
      <c r="H89" s="2">
        <f t="shared" si="17"/>
        <v>3.4825168982116632E-3</v>
      </c>
      <c r="I89" s="2">
        <f t="shared" si="17"/>
        <v>1.4303590046556428E-5</v>
      </c>
      <c r="K89">
        <v>31</v>
      </c>
      <c r="L89">
        <f t="shared" si="1"/>
        <v>75</v>
      </c>
      <c r="M89">
        <f t="shared" si="2"/>
        <v>0.19072184651574003</v>
      </c>
      <c r="N89">
        <f t="shared" si="3"/>
        <v>0.14972031173620107</v>
      </c>
      <c r="O89">
        <f t="shared" si="4"/>
        <v>0.13435359626573476</v>
      </c>
      <c r="P89">
        <f t="shared" si="5"/>
        <v>2.8848811147615481E-2</v>
      </c>
      <c r="Q89">
        <f t="shared" si="6"/>
        <v>3.7302979654398688E-2</v>
      </c>
      <c r="R89">
        <f t="shared" si="7"/>
        <v>0.10113175347562087</v>
      </c>
      <c r="S89">
        <f t="shared" si="8"/>
        <v>4.0064112594825039E-4</v>
      </c>
      <c r="V89">
        <v>31</v>
      </c>
      <c r="W89">
        <f t="shared" si="9"/>
        <v>75</v>
      </c>
      <c r="X89">
        <f t="shared" si="10"/>
        <v>1.5572845649464833E-2</v>
      </c>
      <c r="Y89">
        <f t="shared" si="11"/>
        <v>1.5296538646068968E-2</v>
      </c>
      <c r="Z89">
        <f t="shared" si="12"/>
        <v>1.6108217022465076E-2</v>
      </c>
      <c r="AA89">
        <f t="shared" si="13"/>
        <v>5.5800078832175951E-3</v>
      </c>
      <c r="AB89">
        <f t="shared" si="14"/>
        <v>6.8656532505108493E-3</v>
      </c>
      <c r="AC89">
        <f t="shared" si="15"/>
        <v>1.4893253228021864E-2</v>
      </c>
      <c r="AD89">
        <f t="shared" si="16"/>
        <v>1.3565605938384688E-4</v>
      </c>
    </row>
    <row r="90" spans="1:30" x14ac:dyDescent="0.2">
      <c r="A90">
        <v>80</v>
      </c>
      <c r="B90" t="s">
        <v>14</v>
      </c>
      <c r="C90" s="2">
        <f t="shared" si="17"/>
        <v>3.2019348860952484E-3</v>
      </c>
      <c r="D90" s="2">
        <f t="shared" si="17"/>
        <v>3.2870083835683352E-3</v>
      </c>
      <c r="E90" s="2">
        <f t="shared" si="17"/>
        <v>3.3467419994298061E-3</v>
      </c>
      <c r="F90" s="2">
        <f t="shared" si="17"/>
        <v>7.413779564651112E-4</v>
      </c>
      <c r="G90" s="2">
        <f t="shared" si="17"/>
        <v>9.5863515369401986E-4</v>
      </c>
      <c r="H90" s="2">
        <f t="shared" si="17"/>
        <v>2.6058405184084957E-3</v>
      </c>
      <c r="I90" s="2">
        <f t="shared" si="17"/>
        <v>7.0675264846483356E-6</v>
      </c>
      <c r="K90">
        <v>33</v>
      </c>
      <c r="L90">
        <f t="shared" si="1"/>
        <v>80</v>
      </c>
      <c r="M90">
        <f t="shared" si="2"/>
        <v>0.11435829092226966</v>
      </c>
      <c r="N90">
        <f t="shared" si="3"/>
        <v>0.11201455251976994</v>
      </c>
      <c r="O90">
        <f t="shared" si="4"/>
        <v>0.10492650951162243</v>
      </c>
      <c r="P90">
        <f t="shared" si="5"/>
        <v>2.0792433386566039E-2</v>
      </c>
      <c r="Q90">
        <f t="shared" si="6"/>
        <v>2.7428800210254119E-2</v>
      </c>
      <c r="R90">
        <f t="shared" si="7"/>
        <v>8.0555349015733885E-2</v>
      </c>
      <c r="S90">
        <f t="shared" si="8"/>
        <v>2.1073184233909528E-4</v>
      </c>
      <c r="V90">
        <v>33</v>
      </c>
      <c r="W90">
        <f t="shared" si="9"/>
        <v>80</v>
      </c>
      <c r="X90">
        <f t="shared" si="10"/>
        <v>9.3375984230633317E-3</v>
      </c>
      <c r="Y90">
        <f t="shared" si="11"/>
        <v>1.1444238337946831E-2</v>
      </c>
      <c r="Z90">
        <f t="shared" si="12"/>
        <v>1.258007997999544E-2</v>
      </c>
      <c r="AA90">
        <f t="shared" si="13"/>
        <v>4.0217235162532889E-3</v>
      </c>
      <c r="AB90">
        <f t="shared" si="14"/>
        <v>5.0482999767268713E-3</v>
      </c>
      <c r="AC90">
        <f t="shared" si="15"/>
        <v>1.1863051618621617E-2</v>
      </c>
      <c r="AD90">
        <f t="shared" si="16"/>
        <v>7.1353262226285451E-5</v>
      </c>
    </row>
    <row r="91" spans="1:30" x14ac:dyDescent="0.2">
      <c r="A91">
        <v>85</v>
      </c>
      <c r="B91" t="s">
        <v>14</v>
      </c>
      <c r="C91" s="2">
        <f t="shared" si="17"/>
        <v>1.7104479221342825E-3</v>
      </c>
      <c r="D91" s="2">
        <f t="shared" si="17"/>
        <v>2.2972271773143839E-3</v>
      </c>
      <c r="E91" s="2">
        <f t="shared" si="17"/>
        <v>2.4496240410887774E-3</v>
      </c>
      <c r="F91" s="2">
        <f t="shared" si="17"/>
        <v>5.0195504202610471E-4</v>
      </c>
      <c r="G91" s="2">
        <f t="shared" si="17"/>
        <v>6.6216221121227639E-4</v>
      </c>
      <c r="H91" s="2">
        <f t="shared" si="17"/>
        <v>1.9498555228451206E-3</v>
      </c>
      <c r="I91" s="2">
        <f t="shared" si="17"/>
        <v>3.4921254348471097E-6</v>
      </c>
      <c r="K91">
        <v>35</v>
      </c>
      <c r="L91">
        <f t="shared" si="1"/>
        <v>85</v>
      </c>
      <c r="M91">
        <f t="shared" si="2"/>
        <v>6.4791662026540839E-2</v>
      </c>
      <c r="N91">
        <f t="shared" si="3"/>
        <v>8.302935927476679E-2</v>
      </c>
      <c r="O91">
        <f t="shared" si="4"/>
        <v>8.14547719451435E-2</v>
      </c>
      <c r="P91">
        <f t="shared" si="5"/>
        <v>1.4930851474763314E-2</v>
      </c>
      <c r="Q91">
        <f t="shared" si="6"/>
        <v>2.0094257223319589E-2</v>
      </c>
      <c r="R91">
        <f t="shared" si="7"/>
        <v>6.3929762105204083E-2</v>
      </c>
      <c r="S91">
        <f t="shared" si="8"/>
        <v>1.1043498048178527E-4</v>
      </c>
      <c r="V91">
        <v>35</v>
      </c>
      <c r="W91">
        <f t="shared" si="9"/>
        <v>85</v>
      </c>
      <c r="X91">
        <f t="shared" si="10"/>
        <v>5.2903774294589872E-3</v>
      </c>
      <c r="Y91">
        <f t="shared" si="11"/>
        <v>8.4828957953453511E-3</v>
      </c>
      <c r="Z91">
        <f t="shared" si="12"/>
        <v>9.7659547676909042E-3</v>
      </c>
      <c r="AA91">
        <f t="shared" si="13"/>
        <v>2.887961951222962E-3</v>
      </c>
      <c r="AB91">
        <f t="shared" si="14"/>
        <v>3.6983695056010697E-3</v>
      </c>
      <c r="AC91">
        <f t="shared" si="15"/>
        <v>9.4146704978226442E-3</v>
      </c>
      <c r="AD91">
        <f t="shared" si="16"/>
        <v>3.7393001616679032E-5</v>
      </c>
    </row>
    <row r="92" spans="1:30" x14ac:dyDescent="0.2">
      <c r="A92">
        <v>90</v>
      </c>
      <c r="B92" t="s">
        <v>14</v>
      </c>
      <c r="C92" s="2">
        <f t="shared" si="17"/>
        <v>8.6654198190964189E-4</v>
      </c>
      <c r="D92" s="2">
        <f t="shared" si="17"/>
        <v>1.5972797921307263E-3</v>
      </c>
      <c r="E92" s="2">
        <f t="shared" si="17"/>
        <v>1.7891953950335371E-3</v>
      </c>
      <c r="F92" s="2">
        <f t="shared" si="17"/>
        <v>3.3985211189278949E-4</v>
      </c>
      <c r="G92" s="2">
        <f t="shared" si="17"/>
        <v>4.5737817173506273E-4</v>
      </c>
      <c r="H92" s="2">
        <f t="shared" si="17"/>
        <v>1.4590058497868572E-3</v>
      </c>
      <c r="I92" s="2">
        <f t="shared" si="17"/>
        <v>1.7254891197359141E-6</v>
      </c>
      <c r="K92">
        <v>37</v>
      </c>
      <c r="L92">
        <f t="shared" si="1"/>
        <v>90</v>
      </c>
      <c r="M92">
        <f t="shared" si="2"/>
        <v>3.4700245914611245E-2</v>
      </c>
      <c r="N92">
        <f t="shared" si="3"/>
        <v>6.1029866219513181E-2</v>
      </c>
      <c r="O92">
        <f t="shared" si="4"/>
        <v>6.2893903200291271E-2</v>
      </c>
      <c r="P92">
        <f t="shared" si="5"/>
        <v>1.0686694812133827E-2</v>
      </c>
      <c r="Q92">
        <f t="shared" si="6"/>
        <v>1.4672924359250465E-2</v>
      </c>
      <c r="R92">
        <f t="shared" si="7"/>
        <v>5.0569815402562571E-2</v>
      </c>
      <c r="S92">
        <f t="shared" si="8"/>
        <v>5.7684977654080317E-5</v>
      </c>
      <c r="V92">
        <v>37</v>
      </c>
      <c r="W92">
        <f t="shared" si="9"/>
        <v>90</v>
      </c>
      <c r="X92">
        <f t="shared" si="10"/>
        <v>2.8333491076079562E-3</v>
      </c>
      <c r="Y92">
        <f t="shared" si="11"/>
        <v>6.2352642494897985E-3</v>
      </c>
      <c r="Z92">
        <f t="shared" si="12"/>
        <v>7.5406142470231998E-3</v>
      </c>
      <c r="AA92">
        <f t="shared" si="13"/>
        <v>2.0670467490711917E-3</v>
      </c>
      <c r="AB92">
        <f t="shared" si="14"/>
        <v>2.7005674011810156E-3</v>
      </c>
      <c r="AC92">
        <f t="shared" si="15"/>
        <v>7.4472066448075698E-3</v>
      </c>
      <c r="AD92">
        <f t="shared" si="16"/>
        <v>1.95319857283163E-5</v>
      </c>
    </row>
    <row r="94" spans="1:30" x14ac:dyDescent="0.2">
      <c r="A94" t="s">
        <v>62</v>
      </c>
      <c r="C94">
        <f t="shared" ref="C94:I94" si="18">SUM(C74:C92)</f>
        <v>0.92397193407659306</v>
      </c>
      <c r="D94">
        <f t="shared" si="18"/>
        <v>0.96836771845881808</v>
      </c>
      <c r="E94">
        <f t="shared" si="18"/>
        <v>1.0525699034041553</v>
      </c>
      <c r="F94">
        <f t="shared" si="18"/>
        <v>1.1766526845845651</v>
      </c>
      <c r="G94">
        <f t="shared" si="18"/>
        <v>1.1533482992112825</v>
      </c>
      <c r="H94">
        <f t="shared" si="18"/>
        <v>1.0674987838571024</v>
      </c>
      <c r="I94">
        <f t="shared" si="18"/>
        <v>1.1067543063477796</v>
      </c>
      <c r="K94">
        <f>SUM(K74:K92)</f>
        <v>361</v>
      </c>
      <c r="M94">
        <f t="shared" ref="M94:S94" si="19">SUM(M74:M92)</f>
        <v>12.247077432652411</v>
      </c>
      <c r="N94">
        <f t="shared" si="19"/>
        <v>9.7878556188708377</v>
      </c>
      <c r="O94">
        <f t="shared" si="19"/>
        <v>8.3406869970997164</v>
      </c>
      <c r="P94">
        <f t="shared" si="19"/>
        <v>5.1700305360465579</v>
      </c>
      <c r="Q94">
        <f t="shared" si="19"/>
        <v>5.4332746343726441</v>
      </c>
      <c r="R94">
        <f t="shared" si="19"/>
        <v>6.7904407403306664</v>
      </c>
      <c r="S94">
        <f t="shared" si="19"/>
        <v>2.9533596049300868</v>
      </c>
      <c r="V94">
        <f>SUM(V74:V92)</f>
        <v>361</v>
      </c>
      <c r="X94">
        <f t="shared" ref="X94:AD94" si="20">SUM(X74:X92)</f>
        <v>0.99999999999999989</v>
      </c>
      <c r="Y94">
        <f t="shared" si="20"/>
        <v>0.99999999999999989</v>
      </c>
      <c r="Z94">
        <f t="shared" si="20"/>
        <v>1</v>
      </c>
      <c r="AA94">
        <f t="shared" si="20"/>
        <v>1</v>
      </c>
      <c r="AB94">
        <f t="shared" si="20"/>
        <v>0.99999999999999989</v>
      </c>
      <c r="AC94">
        <f t="shared" si="20"/>
        <v>0.99999999999999978</v>
      </c>
      <c r="AD94">
        <f t="shared" si="20"/>
        <v>0.99999999999999978</v>
      </c>
    </row>
    <row r="96" spans="1:30" x14ac:dyDescent="0.2">
      <c r="A96" t="s">
        <v>63</v>
      </c>
      <c r="L96" t="s">
        <v>63</v>
      </c>
      <c r="W96" t="s">
        <v>63</v>
      </c>
    </row>
    <row r="97" spans="1:27" x14ac:dyDescent="0.2">
      <c r="A97" s="3" t="s">
        <v>34</v>
      </c>
      <c r="C97" t="s">
        <v>50</v>
      </c>
      <c r="D97" t="s">
        <v>54</v>
      </c>
      <c r="E97" t="s">
        <v>48</v>
      </c>
      <c r="F97" t="s">
        <v>58</v>
      </c>
      <c r="M97" t="s">
        <v>50</v>
      </c>
      <c r="N97" t="s">
        <v>54</v>
      </c>
      <c r="O97" t="s">
        <v>48</v>
      </c>
      <c r="P97" t="s">
        <v>58</v>
      </c>
      <c r="X97" t="s">
        <v>50</v>
      </c>
      <c r="Y97" t="s">
        <v>54</v>
      </c>
      <c r="Z97" t="s">
        <v>48</v>
      </c>
      <c r="AA97" t="s">
        <v>58</v>
      </c>
    </row>
    <row r="98" spans="1:27" x14ac:dyDescent="0.2">
      <c r="A98" t="s">
        <v>16</v>
      </c>
      <c r="C98" s="4" t="s">
        <v>15</v>
      </c>
      <c r="D98" s="4" t="s">
        <v>15</v>
      </c>
      <c r="E98" s="4" t="s">
        <v>15</v>
      </c>
      <c r="F98" s="4" t="s">
        <v>15</v>
      </c>
      <c r="K98" t="s">
        <v>61</v>
      </c>
      <c r="L98" t="s">
        <v>16</v>
      </c>
      <c r="M98" s="4" t="s">
        <v>15</v>
      </c>
      <c r="N98" s="4" t="s">
        <v>15</v>
      </c>
      <c r="O98" s="4" t="s">
        <v>15</v>
      </c>
      <c r="P98" s="4" t="s">
        <v>15</v>
      </c>
      <c r="V98" t="s">
        <v>61</v>
      </c>
      <c r="W98" t="s">
        <v>16</v>
      </c>
      <c r="X98" s="4" t="s">
        <v>15</v>
      </c>
      <c r="Y98" s="4" t="s">
        <v>15</v>
      </c>
      <c r="Z98" s="4" t="s">
        <v>15</v>
      </c>
      <c r="AA98" s="4" t="s">
        <v>15</v>
      </c>
    </row>
    <row r="99" spans="1:27" x14ac:dyDescent="0.2">
      <c r="A99">
        <v>0</v>
      </c>
      <c r="B99" t="s">
        <v>14</v>
      </c>
      <c r="C99">
        <f t="shared" ref="C99:F117" si="21">EXP(C$34*$A99+C$37*$A99*$A99+C$40)</f>
        <v>0.67705687449816465</v>
      </c>
      <c r="D99">
        <f t="shared" si="21"/>
        <v>0.69767632607103103</v>
      </c>
      <c r="E99">
        <f t="shared" si="21"/>
        <v>0.26713530196585034</v>
      </c>
      <c r="F99">
        <f t="shared" si="21"/>
        <v>0.83027359498193265</v>
      </c>
      <c r="K99">
        <v>1</v>
      </c>
      <c r="L99">
        <f t="shared" ref="L99:L117" si="22">A99</f>
        <v>0</v>
      </c>
      <c r="M99">
        <f t="shared" ref="M99:M117" si="23">(C99/C$119)*($K99)</f>
        <v>0.5174075541203117</v>
      </c>
      <c r="N99">
        <f t="shared" ref="N99:N117" si="24">(D99/D$119)*($K99)</f>
        <v>0.5235519571598215</v>
      </c>
      <c r="O99">
        <f t="shared" ref="O99:O117" si="25">(E99/E$119)*($K99)</f>
        <v>0.27805121697556456</v>
      </c>
      <c r="P99">
        <f t="shared" ref="P99:P117" si="26">(F99/F$119)*($K99)</f>
        <v>0.60346859498318894</v>
      </c>
      <c r="V99">
        <v>1</v>
      </c>
      <c r="W99">
        <f t="shared" ref="W99:W117" si="27">L99</f>
        <v>0</v>
      </c>
      <c r="X99">
        <f t="shared" ref="X99:X117" si="28">(M99/M$119)</f>
        <v>0.17102197861926322</v>
      </c>
      <c r="Y99">
        <f t="shared" ref="Y99:Y117" si="29">(N99/N$119)</f>
        <v>0.17428221926932394</v>
      </c>
      <c r="Z99">
        <f t="shared" ref="Z99:Z117" si="30">(O99/O$119)</f>
        <v>4.5368842381530439E-2</v>
      </c>
      <c r="AA99">
        <f t="shared" ref="AA99:AA117" si="31">(P99/P$119)</f>
        <v>0.26077070016446896</v>
      </c>
    </row>
    <row r="100" spans="1:27" x14ac:dyDescent="0.2">
      <c r="A100">
        <v>5</v>
      </c>
      <c r="B100" t="s">
        <v>14</v>
      </c>
      <c r="C100">
        <f t="shared" si="21"/>
        <v>0.3155541434990724</v>
      </c>
      <c r="D100">
        <f t="shared" si="21"/>
        <v>0.31948338808194371</v>
      </c>
      <c r="E100">
        <f t="shared" si="21"/>
        <v>0.19301256279376172</v>
      </c>
      <c r="F100">
        <f t="shared" si="21"/>
        <v>0.32922956683868165</v>
      </c>
      <c r="K100">
        <v>3</v>
      </c>
      <c r="L100">
        <f t="shared" si="22"/>
        <v>5</v>
      </c>
      <c r="M100">
        <f t="shared" si="23"/>
        <v>0.72344039502472035</v>
      </c>
      <c r="N100">
        <f t="shared" si="24"/>
        <v>0.71924249194026502</v>
      </c>
      <c r="O100">
        <f t="shared" si="25"/>
        <v>0.60269882993493695</v>
      </c>
      <c r="P100">
        <f t="shared" si="26"/>
        <v>0.7178827750076282</v>
      </c>
      <c r="V100">
        <v>3</v>
      </c>
      <c r="W100">
        <f t="shared" si="27"/>
        <v>5</v>
      </c>
      <c r="X100">
        <f t="shared" si="28"/>
        <v>0.23912331156545064</v>
      </c>
      <c r="Y100">
        <f t="shared" si="29"/>
        <v>0.23942452315173571</v>
      </c>
      <c r="Z100">
        <f t="shared" si="30"/>
        <v>9.8340688871194445E-2</v>
      </c>
      <c r="AA100">
        <f t="shared" si="31"/>
        <v>0.31021132736818907</v>
      </c>
    </row>
    <row r="101" spans="1:27" x14ac:dyDescent="0.2">
      <c r="A101">
        <v>10</v>
      </c>
      <c r="B101" t="s">
        <v>14</v>
      </c>
      <c r="C101">
        <f t="shared" si="21"/>
        <v>0.15202656555785687</v>
      </c>
      <c r="D101">
        <f t="shared" si="21"/>
        <v>0.15195057127523184</v>
      </c>
      <c r="E101">
        <f t="shared" si="21"/>
        <v>0.13945685621505091</v>
      </c>
      <c r="F101">
        <f t="shared" si="21"/>
        <v>0.13054986733998764</v>
      </c>
      <c r="K101">
        <v>5</v>
      </c>
      <c r="L101">
        <f t="shared" si="22"/>
        <v>10</v>
      </c>
      <c r="M101">
        <f t="shared" si="23"/>
        <v>0.58089428236663732</v>
      </c>
      <c r="N101">
        <f t="shared" si="24"/>
        <v>0.57013557727198205</v>
      </c>
      <c r="O101">
        <f t="shared" si="25"/>
        <v>0.72577731772677212</v>
      </c>
      <c r="P101">
        <f t="shared" si="26"/>
        <v>0.4744384591721143</v>
      </c>
      <c r="V101">
        <v>5</v>
      </c>
      <c r="W101">
        <f t="shared" si="27"/>
        <v>10</v>
      </c>
      <c r="X101">
        <f t="shared" si="28"/>
        <v>0.19200664688374194</v>
      </c>
      <c r="Y101">
        <f t="shared" si="29"/>
        <v>0.18978917437419829</v>
      </c>
      <c r="Z101">
        <f t="shared" si="30"/>
        <v>0.11842306280907083</v>
      </c>
      <c r="AA101">
        <f t="shared" si="31"/>
        <v>0.2050142297574086</v>
      </c>
    </row>
    <row r="102" spans="1:27" x14ac:dyDescent="0.2">
      <c r="A102">
        <v>15</v>
      </c>
      <c r="B102" t="s">
        <v>14</v>
      </c>
      <c r="C102">
        <f t="shared" si="21"/>
        <v>7.5711516249277466E-2</v>
      </c>
      <c r="D102">
        <f t="shared" si="21"/>
        <v>7.5061312456235499E-2</v>
      </c>
      <c r="E102">
        <f t="shared" si="21"/>
        <v>0.10076139326830373</v>
      </c>
      <c r="F102">
        <f t="shared" si="21"/>
        <v>5.1767124156377374E-2</v>
      </c>
      <c r="K102">
        <v>7</v>
      </c>
      <c r="L102">
        <f t="shared" si="22"/>
        <v>15</v>
      </c>
      <c r="M102">
        <f t="shared" si="23"/>
        <v>0.40501172562822207</v>
      </c>
      <c r="N102">
        <f t="shared" si="24"/>
        <v>0.39429384232269593</v>
      </c>
      <c r="O102">
        <f t="shared" si="25"/>
        <v>0.73415155059479276</v>
      </c>
      <c r="P102">
        <f t="shared" si="26"/>
        <v>0.26338165767098026</v>
      </c>
      <c r="V102">
        <v>7</v>
      </c>
      <c r="W102">
        <f t="shared" si="27"/>
        <v>15</v>
      </c>
      <c r="X102">
        <f t="shared" si="28"/>
        <v>0.13387107731487516</v>
      </c>
      <c r="Y102">
        <f t="shared" si="29"/>
        <v>0.13125422404495202</v>
      </c>
      <c r="Z102">
        <f t="shared" si="30"/>
        <v>0.11978946305427762</v>
      </c>
      <c r="AA102">
        <f t="shared" si="31"/>
        <v>0.11381241683878066</v>
      </c>
    </row>
    <row r="103" spans="1:27" x14ac:dyDescent="0.2">
      <c r="A103">
        <v>20</v>
      </c>
      <c r="B103" t="s">
        <v>14</v>
      </c>
      <c r="C103">
        <f t="shared" si="21"/>
        <v>3.8976358849579971E-2</v>
      </c>
      <c r="D103">
        <f t="shared" si="21"/>
        <v>3.8511437649625745E-2</v>
      </c>
      <c r="E103">
        <f t="shared" si="21"/>
        <v>7.2802862827435588E-2</v>
      </c>
      <c r="F103">
        <f t="shared" si="21"/>
        <v>2.0527291203159659E-2</v>
      </c>
      <c r="K103">
        <v>9</v>
      </c>
      <c r="L103">
        <f t="shared" si="22"/>
        <v>20</v>
      </c>
      <c r="M103">
        <f t="shared" si="23"/>
        <v>0.26807195871457423</v>
      </c>
      <c r="N103">
        <f t="shared" si="24"/>
        <v>0.26009861623429209</v>
      </c>
      <c r="O103">
        <f t="shared" si="25"/>
        <v>0.68200017045875905</v>
      </c>
      <c r="P103">
        <f t="shared" si="26"/>
        <v>0.13427884603876855</v>
      </c>
      <c r="V103">
        <v>9</v>
      </c>
      <c r="W103">
        <f t="shared" si="27"/>
        <v>20</v>
      </c>
      <c r="X103">
        <f t="shared" si="28"/>
        <v>8.8607513413009431E-2</v>
      </c>
      <c r="Y103">
        <f t="shared" si="29"/>
        <v>8.6582742068433999E-2</v>
      </c>
      <c r="Z103">
        <f t="shared" si="30"/>
        <v>0.11128006765904394</v>
      </c>
      <c r="AA103">
        <f t="shared" si="31"/>
        <v>5.8024541773846666E-2</v>
      </c>
    </row>
    <row r="104" spans="1:27" x14ac:dyDescent="0.2">
      <c r="A104">
        <v>25</v>
      </c>
      <c r="B104" t="s">
        <v>14</v>
      </c>
      <c r="C104">
        <f t="shared" si="21"/>
        <v>2.0741370465265935E-2</v>
      </c>
      <c r="D104">
        <f t="shared" si="21"/>
        <v>2.0522160021783267E-2</v>
      </c>
      <c r="E104">
        <f t="shared" si="21"/>
        <v>5.2602059816273812E-2</v>
      </c>
      <c r="F104">
        <f t="shared" si="21"/>
        <v>8.1397159105545177E-3</v>
      </c>
      <c r="K104">
        <v>11</v>
      </c>
      <c r="L104">
        <f t="shared" si="22"/>
        <v>25</v>
      </c>
      <c r="M104">
        <f t="shared" si="23"/>
        <v>0.17435634113367493</v>
      </c>
      <c r="N104">
        <f t="shared" si="24"/>
        <v>0.16940317891485332</v>
      </c>
      <c r="O104">
        <f t="shared" si="25"/>
        <v>0.60226684019945576</v>
      </c>
      <c r="P104">
        <f t="shared" si="26"/>
        <v>6.5078177231839909E-2</v>
      </c>
      <c r="V104">
        <v>11</v>
      </c>
      <c r="W104">
        <f t="shared" si="27"/>
        <v>25</v>
      </c>
      <c r="X104">
        <f t="shared" si="28"/>
        <v>5.7631099909613265E-2</v>
      </c>
      <c r="Y104">
        <f t="shared" si="29"/>
        <v>5.6391656202989575E-2</v>
      </c>
      <c r="Z104">
        <f t="shared" si="30"/>
        <v>9.8270202309644145E-2</v>
      </c>
      <c r="AA104">
        <f t="shared" si="31"/>
        <v>2.8121565866483983E-2</v>
      </c>
    </row>
    <row r="105" spans="1:27" x14ac:dyDescent="0.2">
      <c r="A105">
        <v>30</v>
      </c>
      <c r="B105" t="s">
        <v>14</v>
      </c>
      <c r="C105">
        <f t="shared" si="21"/>
        <v>1.1409601970326684E-2</v>
      </c>
      <c r="D105">
        <f t="shared" si="21"/>
        <v>1.1358374110591591E-2</v>
      </c>
      <c r="E105">
        <f t="shared" si="21"/>
        <v>3.80064270751743E-2</v>
      </c>
      <c r="F105">
        <f t="shared" si="21"/>
        <v>3.2276531008794815E-3</v>
      </c>
      <c r="K105">
        <v>13</v>
      </c>
      <c r="L105">
        <f t="shared" si="22"/>
        <v>30</v>
      </c>
      <c r="M105">
        <f t="shared" si="23"/>
        <v>0.11334998303247755</v>
      </c>
      <c r="N105">
        <f t="shared" si="24"/>
        <v>0.1108065216719523</v>
      </c>
      <c r="O105">
        <f t="shared" si="25"/>
        <v>0.51427322373308282</v>
      </c>
      <c r="P105">
        <f t="shared" si="26"/>
        <v>3.0497458690110897E-2</v>
      </c>
      <c r="V105">
        <v>13</v>
      </c>
      <c r="W105">
        <f t="shared" si="27"/>
        <v>30</v>
      </c>
      <c r="X105">
        <f t="shared" si="28"/>
        <v>3.7466284015958896E-2</v>
      </c>
      <c r="Y105">
        <f t="shared" si="29"/>
        <v>3.6885749814143373E-2</v>
      </c>
      <c r="Z105">
        <f t="shared" si="30"/>
        <v>8.3912529074232439E-2</v>
      </c>
      <c r="AA105">
        <f t="shared" si="31"/>
        <v>1.3178554314129192E-2</v>
      </c>
    </row>
    <row r="106" spans="1:27" x14ac:dyDescent="0.2">
      <c r="A106">
        <v>35</v>
      </c>
      <c r="B106" t="s">
        <v>14</v>
      </c>
      <c r="C106">
        <f t="shared" si="21"/>
        <v>6.4878440444270614E-3</v>
      </c>
      <c r="D106">
        <f t="shared" si="21"/>
        <v>6.5293361658251862E-3</v>
      </c>
      <c r="E106">
        <f t="shared" si="21"/>
        <v>2.7460683176016108E-2</v>
      </c>
      <c r="F106">
        <f t="shared" si="21"/>
        <v>1.279865864373542E-3</v>
      </c>
      <c r="K106">
        <v>15</v>
      </c>
      <c r="L106">
        <f t="shared" si="22"/>
        <v>35</v>
      </c>
      <c r="M106">
        <f t="shared" si="23"/>
        <v>7.4370255549708691E-2</v>
      </c>
      <c r="N106">
        <f t="shared" si="24"/>
        <v>7.3496403722551118E-2</v>
      </c>
      <c r="O106">
        <f t="shared" si="25"/>
        <v>0.42874208237635608</v>
      </c>
      <c r="P106">
        <f t="shared" si="26"/>
        <v>1.3953692968350747E-2</v>
      </c>
      <c r="V106">
        <v>15</v>
      </c>
      <c r="W106">
        <f t="shared" si="27"/>
        <v>35</v>
      </c>
      <c r="X106">
        <f t="shared" si="28"/>
        <v>2.4582069112145027E-2</v>
      </c>
      <c r="Y106">
        <f t="shared" si="29"/>
        <v>2.4465797852361477E-2</v>
      </c>
      <c r="Z106">
        <f t="shared" si="30"/>
        <v>6.9956651041636911E-2</v>
      </c>
      <c r="AA106">
        <f t="shared" si="31"/>
        <v>6.0296663579290592E-3</v>
      </c>
    </row>
    <row r="107" spans="1:27" x14ac:dyDescent="0.2">
      <c r="A107">
        <v>40</v>
      </c>
      <c r="B107" t="s">
        <v>14</v>
      </c>
      <c r="C107">
        <f t="shared" si="21"/>
        <v>3.8135300366170782E-3</v>
      </c>
      <c r="D107">
        <f t="shared" si="21"/>
        <v>3.8983573768231251E-3</v>
      </c>
      <c r="E107">
        <f t="shared" si="21"/>
        <v>1.9841094744370288E-2</v>
      </c>
      <c r="F107">
        <f t="shared" si="21"/>
        <v>5.0750702742568263E-4</v>
      </c>
      <c r="K107">
        <v>17</v>
      </c>
      <c r="L107">
        <f t="shared" si="22"/>
        <v>40</v>
      </c>
      <c r="M107">
        <f t="shared" si="23"/>
        <v>4.9543160247267348E-2</v>
      </c>
      <c r="N107">
        <f t="shared" si="24"/>
        <v>4.9732051221010549E-2</v>
      </c>
      <c r="O107">
        <f t="shared" si="25"/>
        <v>0.35108159979763048</v>
      </c>
      <c r="P107">
        <f t="shared" si="26"/>
        <v>6.270821363953784E-3</v>
      </c>
      <c r="V107">
        <v>17</v>
      </c>
      <c r="W107">
        <f t="shared" si="27"/>
        <v>40</v>
      </c>
      <c r="X107">
        <f t="shared" si="28"/>
        <v>1.6375812886892421E-2</v>
      </c>
      <c r="Y107">
        <f t="shared" si="29"/>
        <v>1.6555018345519357E-2</v>
      </c>
      <c r="Z107">
        <f t="shared" si="30"/>
        <v>5.7285006473012601E-2</v>
      </c>
      <c r="AA107">
        <f t="shared" si="31"/>
        <v>2.7097457784527991E-3</v>
      </c>
    </row>
    <row r="108" spans="1:27" x14ac:dyDescent="0.2">
      <c r="A108">
        <v>45</v>
      </c>
      <c r="B108" t="s">
        <v>14</v>
      </c>
      <c r="C108">
        <f t="shared" si="21"/>
        <v>2.3171321504618773E-3</v>
      </c>
      <c r="D108">
        <f t="shared" si="21"/>
        <v>2.4174306928080244E-3</v>
      </c>
      <c r="E108">
        <f t="shared" si="21"/>
        <v>1.4335733679011489E-2</v>
      </c>
      <c r="F108">
        <f t="shared" si="21"/>
        <v>2.0124248177563747E-4</v>
      </c>
      <c r="K108">
        <v>19</v>
      </c>
      <c r="L108">
        <f t="shared" si="22"/>
        <v>45</v>
      </c>
      <c r="M108">
        <f t="shared" si="23"/>
        <v>3.3644340306300355E-2</v>
      </c>
      <c r="N108">
        <f t="shared" si="24"/>
        <v>3.4467789634288294E-2</v>
      </c>
      <c r="O108">
        <f t="shared" si="25"/>
        <v>0.28350912500411368</v>
      </c>
      <c r="P108">
        <f t="shared" si="26"/>
        <v>2.7791162464748942E-3</v>
      </c>
      <c r="V108">
        <v>19</v>
      </c>
      <c r="W108">
        <f t="shared" si="27"/>
        <v>45</v>
      </c>
      <c r="X108">
        <f t="shared" si="28"/>
        <v>1.1120675766526145E-2</v>
      </c>
      <c r="Y108">
        <f t="shared" si="29"/>
        <v>1.1473785530971104E-2</v>
      </c>
      <c r="Z108">
        <f t="shared" si="30"/>
        <v>4.6259394027998849E-2</v>
      </c>
      <c r="AA108">
        <f t="shared" si="31"/>
        <v>1.2009110257873445E-3</v>
      </c>
    </row>
    <row r="109" spans="1:27" x14ac:dyDescent="0.2">
      <c r="A109">
        <v>50</v>
      </c>
      <c r="B109" t="s">
        <v>14</v>
      </c>
      <c r="C109">
        <f t="shared" si="21"/>
        <v>1.4553628907585517E-3</v>
      </c>
      <c r="D109">
        <f t="shared" si="21"/>
        <v>1.5569912592293745E-3</v>
      </c>
      <c r="E109">
        <f t="shared" si="21"/>
        <v>1.0357959717613696E-2</v>
      </c>
      <c r="F109">
        <f t="shared" si="21"/>
        <v>7.9798966876666862E-5</v>
      </c>
      <c r="K109">
        <v>21</v>
      </c>
      <c r="L109">
        <f t="shared" si="22"/>
        <v>50</v>
      </c>
      <c r="M109">
        <f t="shared" si="23"/>
        <v>2.3355985918734938E-2</v>
      </c>
      <c r="N109">
        <f t="shared" si="24"/>
        <v>2.4536424130167354E-2</v>
      </c>
      <c r="O109">
        <f t="shared" si="25"/>
        <v>0.22640552917234916</v>
      </c>
      <c r="P109">
        <f t="shared" si="26"/>
        <v>1.2180076362510626E-3</v>
      </c>
      <c r="V109">
        <v>21</v>
      </c>
      <c r="W109">
        <f t="shared" si="27"/>
        <v>50</v>
      </c>
      <c r="X109">
        <f t="shared" si="28"/>
        <v>7.7200011724159962E-3</v>
      </c>
      <c r="Y109">
        <f t="shared" si="29"/>
        <v>8.1677900194222167E-3</v>
      </c>
      <c r="Z109">
        <f t="shared" si="30"/>
        <v>3.6941959395308074E-2</v>
      </c>
      <c r="AA109">
        <f t="shared" si="31"/>
        <v>5.2632515884228819E-4</v>
      </c>
    </row>
    <row r="110" spans="1:27" x14ac:dyDescent="0.2">
      <c r="A110">
        <v>55</v>
      </c>
      <c r="B110" t="s">
        <v>14</v>
      </c>
      <c r="C110">
        <f t="shared" si="21"/>
        <v>9.4490610046010651E-4</v>
      </c>
      <c r="D110">
        <f t="shared" si="21"/>
        <v>1.0415450950759101E-3</v>
      </c>
      <c r="E110">
        <f t="shared" si="21"/>
        <v>7.4839092238986084E-3</v>
      </c>
      <c r="F110">
        <f t="shared" si="21"/>
        <v>3.164279757632304E-5</v>
      </c>
      <c r="K110">
        <v>23</v>
      </c>
      <c r="L110">
        <f t="shared" si="22"/>
        <v>55</v>
      </c>
      <c r="M110">
        <f t="shared" si="23"/>
        <v>1.6608258733832947E-2</v>
      </c>
      <c r="N110">
        <f t="shared" si="24"/>
        <v>1.797677219401423E-2</v>
      </c>
      <c r="O110">
        <f t="shared" si="25"/>
        <v>0.17916363430405235</v>
      </c>
      <c r="P110">
        <f t="shared" si="26"/>
        <v>5.2897622944174567E-4</v>
      </c>
      <c r="V110">
        <v>23</v>
      </c>
      <c r="W110">
        <f t="shared" si="27"/>
        <v>55</v>
      </c>
      <c r="X110">
        <f t="shared" si="28"/>
        <v>5.489632394157706E-3</v>
      </c>
      <c r="Y110">
        <f t="shared" si="29"/>
        <v>5.9841849704239999E-3</v>
      </c>
      <c r="Z110">
        <f t="shared" si="30"/>
        <v>2.9233631032649098E-2</v>
      </c>
      <c r="AA110">
        <f t="shared" si="31"/>
        <v>2.2858107757161328E-4</v>
      </c>
    </row>
    <row r="111" spans="1:27" x14ac:dyDescent="0.2">
      <c r="A111">
        <v>60</v>
      </c>
      <c r="B111" t="s">
        <v>14</v>
      </c>
      <c r="C111">
        <f t="shared" si="21"/>
        <v>6.3416587833238101E-4</v>
      </c>
      <c r="D111">
        <f t="shared" si="21"/>
        <v>7.2365195956049287E-4</v>
      </c>
      <c r="E111">
        <f t="shared" si="21"/>
        <v>5.4073291264409547E-3</v>
      </c>
      <c r="F111">
        <f t="shared" si="21"/>
        <v>1.2547363426442132E-5</v>
      </c>
      <c r="K111">
        <v>25</v>
      </c>
      <c r="L111">
        <f t="shared" si="22"/>
        <v>60</v>
      </c>
      <c r="M111">
        <f t="shared" si="23"/>
        <v>1.2115755277491312E-2</v>
      </c>
      <c r="N111">
        <f t="shared" si="24"/>
        <v>1.3576116372761337E-2</v>
      </c>
      <c r="O111">
        <f t="shared" si="25"/>
        <v>0.14070720278543794</v>
      </c>
      <c r="P111">
        <f t="shared" si="26"/>
        <v>2.2799532056247242E-4</v>
      </c>
      <c r="V111">
        <v>25</v>
      </c>
      <c r="W111">
        <f t="shared" si="27"/>
        <v>60</v>
      </c>
      <c r="X111">
        <f t="shared" si="28"/>
        <v>4.0046969231947718E-3</v>
      </c>
      <c r="Y111">
        <f t="shared" si="29"/>
        <v>4.5192758008947191E-3</v>
      </c>
      <c r="Z111">
        <f t="shared" si="30"/>
        <v>2.2958802247139896E-2</v>
      </c>
      <c r="AA111">
        <f t="shared" si="31"/>
        <v>9.8521281590394476E-5</v>
      </c>
    </row>
    <row r="112" spans="1:27" x14ac:dyDescent="0.2">
      <c r="A112">
        <v>65</v>
      </c>
      <c r="B112" t="s">
        <v>14</v>
      </c>
      <c r="C112">
        <f t="shared" si="21"/>
        <v>4.3996076741205565E-4</v>
      </c>
      <c r="D112">
        <f t="shared" si="21"/>
        <v>5.2220517069294522E-4</v>
      </c>
      <c r="E112">
        <f t="shared" si="21"/>
        <v>3.9069432039990802E-3</v>
      </c>
      <c r="F112">
        <f t="shared" si="21"/>
        <v>4.9754238251367604E-6</v>
      </c>
      <c r="K112">
        <v>27</v>
      </c>
      <c r="L112">
        <f t="shared" si="22"/>
        <v>65</v>
      </c>
      <c r="M112">
        <f t="shared" si="23"/>
        <v>9.0778986153798695E-3</v>
      </c>
      <c r="N112">
        <f t="shared" si="24"/>
        <v>1.058061063754762E-2</v>
      </c>
      <c r="O112">
        <f t="shared" si="25"/>
        <v>0.10979798709629614</v>
      </c>
      <c r="P112">
        <f t="shared" si="26"/>
        <v>9.7639892645502631E-5</v>
      </c>
      <c r="V112">
        <v>27</v>
      </c>
      <c r="W112">
        <f t="shared" si="27"/>
        <v>65</v>
      </c>
      <c r="X112">
        <f t="shared" si="28"/>
        <v>3.0005750216517534E-3</v>
      </c>
      <c r="Y112">
        <f t="shared" si="29"/>
        <v>3.5221190140131693E-3</v>
      </c>
      <c r="Z112">
        <f t="shared" si="30"/>
        <v>1.7915431640851059E-2</v>
      </c>
      <c r="AA112">
        <f t="shared" si="31"/>
        <v>4.2192126285976155E-5</v>
      </c>
    </row>
    <row r="113" spans="1:27" x14ac:dyDescent="0.2">
      <c r="A113">
        <v>70</v>
      </c>
      <c r="B113" t="s">
        <v>14</v>
      </c>
      <c r="C113">
        <f t="shared" si="21"/>
        <v>3.155163672971693E-4</v>
      </c>
      <c r="D113">
        <f t="shared" si="21"/>
        <v>3.9139236894949049E-4</v>
      </c>
      <c r="E113">
        <f t="shared" si="21"/>
        <v>2.8228733340153363E-3</v>
      </c>
      <c r="F113">
        <f t="shared" si="21"/>
        <v>1.9729118698810108E-6</v>
      </c>
      <c r="K113">
        <v>29</v>
      </c>
      <c r="L113">
        <f t="shared" si="22"/>
        <v>70</v>
      </c>
      <c r="M113">
        <f t="shared" si="23"/>
        <v>6.9924199621568244E-3</v>
      </c>
      <c r="N113">
        <f t="shared" si="24"/>
        <v>8.517578654434383E-3</v>
      </c>
      <c r="O113">
        <f t="shared" si="25"/>
        <v>8.5208497129832805E-2</v>
      </c>
      <c r="P113">
        <f t="shared" si="26"/>
        <v>4.1585232240091987E-5</v>
      </c>
      <c r="V113">
        <v>29</v>
      </c>
      <c r="W113">
        <f t="shared" si="27"/>
        <v>70</v>
      </c>
      <c r="X113">
        <f t="shared" si="28"/>
        <v>2.3112486235305784E-3</v>
      </c>
      <c r="Y113">
        <f t="shared" si="29"/>
        <v>2.8353680860039141E-3</v>
      </c>
      <c r="Z113">
        <f t="shared" si="30"/>
        <v>1.390323307302843E-2</v>
      </c>
      <c r="AA113">
        <f t="shared" si="31"/>
        <v>1.7969800281078297E-5</v>
      </c>
    </row>
    <row r="114" spans="1:27" x14ac:dyDescent="0.2">
      <c r="A114">
        <v>75</v>
      </c>
      <c r="B114" t="s">
        <v>14</v>
      </c>
      <c r="C114">
        <f t="shared" si="21"/>
        <v>2.3389810176281407E-4</v>
      </c>
      <c r="D114">
        <f t="shared" si="21"/>
        <v>3.0467954677655462E-4</v>
      </c>
      <c r="E114">
        <f t="shared" si="21"/>
        <v>2.0396031996928739E-3</v>
      </c>
      <c r="F114">
        <f t="shared" si="21"/>
        <v>7.8232154347381437E-7</v>
      </c>
      <c r="K114">
        <v>31</v>
      </c>
      <c r="L114">
        <f t="shared" si="22"/>
        <v>75</v>
      </c>
      <c r="M114">
        <f t="shared" si="23"/>
        <v>5.5411002065692688E-3</v>
      </c>
      <c r="N114">
        <f t="shared" si="24"/>
        <v>7.087789249654081E-3</v>
      </c>
      <c r="O114">
        <f t="shared" si="25"/>
        <v>6.5811364417590404E-2</v>
      </c>
      <c r="P114">
        <f t="shared" si="26"/>
        <v>1.7627082266707971E-5</v>
      </c>
      <c r="V114">
        <v>31</v>
      </c>
      <c r="W114">
        <f t="shared" si="27"/>
        <v>75</v>
      </c>
      <c r="X114">
        <f t="shared" si="28"/>
        <v>1.8315347611541238E-3</v>
      </c>
      <c r="Y114">
        <f t="shared" si="29"/>
        <v>2.3594136613376933E-3</v>
      </c>
      <c r="Z114">
        <f t="shared" si="30"/>
        <v>1.0738256971691349E-2</v>
      </c>
      <c r="AA114">
        <f t="shared" si="31"/>
        <v>7.6170104339467441E-6</v>
      </c>
    </row>
    <row r="115" spans="1:27" x14ac:dyDescent="0.2">
      <c r="A115">
        <v>80</v>
      </c>
      <c r="B115" t="s">
        <v>14</v>
      </c>
      <c r="C115">
        <f t="shared" si="21"/>
        <v>1.7923728776914505E-4</v>
      </c>
      <c r="D115">
        <f t="shared" si="21"/>
        <v>2.4633947343672639E-4</v>
      </c>
      <c r="E115">
        <f t="shared" si="21"/>
        <v>1.4736691023539948E-3</v>
      </c>
      <c r="F115">
        <f t="shared" si="21"/>
        <v>3.1021507180661009E-7</v>
      </c>
      <c r="K115">
        <v>33</v>
      </c>
      <c r="L115">
        <f t="shared" si="22"/>
        <v>80</v>
      </c>
      <c r="M115">
        <f t="shared" si="23"/>
        <v>4.5201194987311601E-3</v>
      </c>
      <c r="N115">
        <f t="shared" si="24"/>
        <v>6.1003359073456354E-3</v>
      </c>
      <c r="O115">
        <f t="shared" si="25"/>
        <v>5.0618285873648888E-2</v>
      </c>
      <c r="P115">
        <f t="shared" si="26"/>
        <v>7.4406398128125303E-6</v>
      </c>
      <c r="V115">
        <v>33</v>
      </c>
      <c r="W115">
        <f t="shared" si="27"/>
        <v>80</v>
      </c>
      <c r="X115">
        <f t="shared" si="28"/>
        <v>1.4940635754397236E-3</v>
      </c>
      <c r="Y115">
        <f t="shared" si="29"/>
        <v>2.0307059608526911E-3</v>
      </c>
      <c r="Z115">
        <f t="shared" si="30"/>
        <v>8.2592446758707888E-3</v>
      </c>
      <c r="AA115">
        <f t="shared" si="31"/>
        <v>3.2152474375452768E-6</v>
      </c>
    </row>
    <row r="116" spans="1:27" x14ac:dyDescent="0.2">
      <c r="A116">
        <v>85</v>
      </c>
      <c r="B116" t="s">
        <v>14</v>
      </c>
      <c r="C116">
        <f t="shared" si="21"/>
        <v>1.4197990847305319E-4</v>
      </c>
      <c r="D116">
        <f t="shared" si="21"/>
        <v>2.0686379012666532E-4</v>
      </c>
      <c r="E116">
        <f t="shared" si="21"/>
        <v>1.0647662366679196E-3</v>
      </c>
      <c r="F116">
        <f t="shared" si="21"/>
        <v>1.2301002264192605E-7</v>
      </c>
      <c r="K116">
        <v>35</v>
      </c>
      <c r="L116">
        <f t="shared" si="22"/>
        <v>85</v>
      </c>
      <c r="M116">
        <f t="shared" si="23"/>
        <v>3.7975416808375619E-3</v>
      </c>
      <c r="N116">
        <f t="shared" si="24"/>
        <v>5.4332329116970335E-3</v>
      </c>
      <c r="O116">
        <f t="shared" si="25"/>
        <v>3.8789647419287546E-2</v>
      </c>
      <c r="P116">
        <f t="shared" si="26"/>
        <v>3.1292624616065331E-6</v>
      </c>
      <c r="V116">
        <v>35</v>
      </c>
      <c r="W116">
        <f t="shared" si="27"/>
        <v>85</v>
      </c>
      <c r="X116">
        <f t="shared" si="28"/>
        <v>1.2552253769278058E-3</v>
      </c>
      <c r="Y116">
        <f t="shared" si="29"/>
        <v>1.8086378566791043E-3</v>
      </c>
      <c r="Z116">
        <f t="shared" si="30"/>
        <v>6.3291986956325831E-3</v>
      </c>
      <c r="AA116">
        <f t="shared" si="31"/>
        <v>1.3522161217590079E-6</v>
      </c>
    </row>
    <row r="117" spans="1:27" x14ac:dyDescent="0.2">
      <c r="A117">
        <v>90</v>
      </c>
      <c r="B117" t="s">
        <v>14</v>
      </c>
      <c r="C117">
        <f t="shared" si="21"/>
        <v>1.1625784870894796E-4</v>
      </c>
      <c r="D117">
        <f t="shared" si="21"/>
        <v>1.8042416625907247E-4</v>
      </c>
      <c r="E117">
        <f t="shared" si="21"/>
        <v>7.6932273122710016E-4</v>
      </c>
      <c r="F117">
        <f t="shared" si="21"/>
        <v>4.877733883864999E-8</v>
      </c>
      <c r="K117">
        <v>37</v>
      </c>
      <c r="L117">
        <f t="shared" si="22"/>
        <v>90</v>
      </c>
      <c r="M117">
        <f t="shared" si="23"/>
        <v>3.2872415631518938E-3</v>
      </c>
      <c r="N117">
        <f t="shared" si="24"/>
        <v>5.0095905620670591E-3</v>
      </c>
      <c r="O117">
        <f t="shared" si="25"/>
        <v>2.9628100229913544E-2</v>
      </c>
      <c r="P117">
        <f t="shared" si="26"/>
        <v>1.3117566493908848E-6</v>
      </c>
      <c r="V117">
        <v>37</v>
      </c>
      <c r="W117">
        <f t="shared" si="27"/>
        <v>90</v>
      </c>
      <c r="X117">
        <f t="shared" si="28"/>
        <v>1.0865526640513477E-3</v>
      </c>
      <c r="Y117">
        <f t="shared" si="29"/>
        <v>1.6676139757437415E-3</v>
      </c>
      <c r="Z117">
        <f t="shared" si="30"/>
        <v>4.834334566186281E-3</v>
      </c>
      <c r="AA117">
        <f t="shared" si="31"/>
        <v>5.6683595923759371E-7</v>
      </c>
    </row>
    <row r="119" spans="1:27" x14ac:dyDescent="0.2">
      <c r="C119">
        <f>SUM(C99:C117)</f>
        <v>1.3085562224720244</v>
      </c>
      <c r="D119">
        <f>SUM(D99:D117)</f>
        <v>1.3325827867320066</v>
      </c>
      <c r="E119">
        <f>SUM(E99:E117)</f>
        <v>0.96074135143715789</v>
      </c>
      <c r="F119">
        <f>SUM(F99:F117)</f>
        <v>1.3758356306926989</v>
      </c>
      <c r="K119">
        <f>SUM(K99:K117)</f>
        <v>361</v>
      </c>
      <c r="M119">
        <f>SUM(M99:M117)</f>
        <v>3.0253863175807805</v>
      </c>
      <c r="N119">
        <f>SUM(N99:N117)</f>
        <v>3.0040468807134006</v>
      </c>
      <c r="O119">
        <f>SUM(O99:O117)</f>
        <v>6.1286822052298744</v>
      </c>
      <c r="P119">
        <f>SUM(P99:P117)</f>
        <v>2.3141733124257415</v>
      </c>
      <c r="V119">
        <f>SUM(V99:V117)</f>
        <v>361</v>
      </c>
      <c r="X119">
        <f>SUM(X99:X117)</f>
        <v>0.99999999999999967</v>
      </c>
      <c r="Y119">
        <f>SUM(Y99:Y117)</f>
        <v>1</v>
      </c>
      <c r="Z119">
        <f>SUM(Z99:Z117)</f>
        <v>0.99999999999999978</v>
      </c>
      <c r="AA119">
        <f>SUM(AA99:AA117)</f>
        <v>1</v>
      </c>
    </row>
    <row r="123" spans="1:27" x14ac:dyDescent="0.2">
      <c r="A123" t="s">
        <v>64</v>
      </c>
      <c r="C123" t="s">
        <v>65</v>
      </c>
    </row>
    <row r="124" spans="1:27" x14ac:dyDescent="0.2">
      <c r="C124" t="s">
        <v>66</v>
      </c>
    </row>
    <row r="126" spans="1:27" x14ac:dyDescent="0.2">
      <c r="C126" t="s">
        <v>67</v>
      </c>
      <c r="D126" t="s">
        <v>68</v>
      </c>
    </row>
    <row r="127" spans="1:27" x14ac:dyDescent="0.2">
      <c r="C127" t="s">
        <v>69</v>
      </c>
      <c r="D127" t="s">
        <v>70</v>
      </c>
    </row>
    <row r="129" spans="1:4" x14ac:dyDescent="0.2">
      <c r="A129" t="s">
        <v>71</v>
      </c>
      <c r="C129">
        <v>119900</v>
      </c>
      <c r="D129">
        <v>66000</v>
      </c>
    </row>
    <row r="131" spans="1:4" x14ac:dyDescent="0.2">
      <c r="A131" t="s">
        <v>72</v>
      </c>
      <c r="C131">
        <v>3510</v>
      </c>
      <c r="D131">
        <v>3040</v>
      </c>
    </row>
    <row r="132" spans="1:4" x14ac:dyDescent="0.2">
      <c r="A132" t="s">
        <v>73</v>
      </c>
      <c r="C132" s="3" t="s">
        <v>74</v>
      </c>
      <c r="D132" s="3" t="s">
        <v>75</v>
      </c>
    </row>
    <row r="134" spans="1:4" x14ac:dyDescent="0.2">
      <c r="A134" t="s">
        <v>76</v>
      </c>
      <c r="C134">
        <v>5390</v>
      </c>
      <c r="D134">
        <v>4140</v>
      </c>
    </row>
    <row r="135" spans="1:4" x14ac:dyDescent="0.2">
      <c r="A135" t="s">
        <v>77</v>
      </c>
      <c r="C135" s="6" t="s">
        <v>78</v>
      </c>
      <c r="D135" s="3" t="s">
        <v>79</v>
      </c>
    </row>
    <row r="137" spans="1:4" x14ac:dyDescent="0.2">
      <c r="A137" t="s">
        <v>80</v>
      </c>
      <c r="C137">
        <v>1530</v>
      </c>
      <c r="D137">
        <v>810</v>
      </c>
    </row>
    <row r="138" spans="1:4" x14ac:dyDescent="0.2">
      <c r="C138" s="3" t="s">
        <v>81</v>
      </c>
      <c r="D138" s="3" t="s">
        <v>82</v>
      </c>
    </row>
    <row r="140" spans="1:4" x14ac:dyDescent="0.2">
      <c r="A140" t="s">
        <v>83</v>
      </c>
      <c r="C140">
        <v>-60</v>
      </c>
      <c r="D140">
        <v>620</v>
      </c>
    </row>
    <row r="141" spans="1:4" x14ac:dyDescent="0.2">
      <c r="C141" t="s">
        <v>84</v>
      </c>
      <c r="D141" s="3" t="s">
        <v>85</v>
      </c>
    </row>
    <row r="143" spans="1:4" x14ac:dyDescent="0.2">
      <c r="A143" t="s">
        <v>86</v>
      </c>
      <c r="C143">
        <v>2625</v>
      </c>
      <c r="D143">
        <v>-130</v>
      </c>
    </row>
    <row r="144" spans="1:4" x14ac:dyDescent="0.2">
      <c r="A144" t="s">
        <v>87</v>
      </c>
      <c r="C144" s="3" t="s">
        <v>88</v>
      </c>
      <c r="D144" s="3" t="s">
        <v>89</v>
      </c>
    </row>
    <row r="146" spans="1:4" x14ac:dyDescent="0.2">
      <c r="A146" t="s">
        <v>90</v>
      </c>
      <c r="C146">
        <v>280</v>
      </c>
      <c r="D146">
        <v>910</v>
      </c>
    </row>
    <row r="147" spans="1:4" x14ac:dyDescent="0.2">
      <c r="C147" s="3" t="s">
        <v>91</v>
      </c>
      <c r="D147" s="3" t="s">
        <v>92</v>
      </c>
    </row>
    <row r="149" spans="1:4" x14ac:dyDescent="0.2">
      <c r="A149" t="s">
        <v>93</v>
      </c>
      <c r="C149">
        <v>880</v>
      </c>
      <c r="D149">
        <v>1730</v>
      </c>
    </row>
    <row r="150" spans="1:4" x14ac:dyDescent="0.2">
      <c r="C150" s="3" t="s">
        <v>94</v>
      </c>
      <c r="D150" s="3" t="s">
        <v>95</v>
      </c>
    </row>
    <row r="152" spans="1:4" x14ac:dyDescent="0.2">
      <c r="A152" t="s">
        <v>96</v>
      </c>
      <c r="C152">
        <v>2808</v>
      </c>
      <c r="D152">
        <v>2492</v>
      </c>
    </row>
    <row r="153" spans="1:4" x14ac:dyDescent="0.2">
      <c r="C153" s="3" t="s">
        <v>88</v>
      </c>
      <c r="D153" s="3" t="s">
        <v>97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</vt:lpstr>
      <vt:lpstr>Current</vt:lpstr>
      <vt:lpstr>NONW.1</vt:lpstr>
      <vt:lpstr>NONW.2</vt:lpstr>
      <vt:lpstr>WORK.1</vt:lpstr>
      <vt:lpstr>Table1</vt:lpstr>
      <vt:lpstr>Table2</vt:lpstr>
      <vt:lpstr>Table3</vt:lpstr>
      <vt:lpstr>Table3_</vt:lpstr>
      <vt:lpstr>Table4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Levinson</dc:creator>
  <cp:lastModifiedBy>Microsoft Office User</cp:lastModifiedBy>
  <dcterms:created xsi:type="dcterms:W3CDTF">2001-04-23T14:15:34Z</dcterms:created>
  <dcterms:modified xsi:type="dcterms:W3CDTF">2022-01-25T21:45:50Z</dcterms:modified>
</cp:coreProperties>
</file>