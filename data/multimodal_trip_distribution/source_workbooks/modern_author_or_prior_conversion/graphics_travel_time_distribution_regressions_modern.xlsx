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chartsheets/sheet29.xml" ContentType="application/vnd.openxmlformats-officedocument.spreadsheetml.chartsheet+xml"/>
  <Override PartName="/xl/chartsheets/sheet30.xml" ContentType="application/vnd.openxmlformats-officedocument.spreadsheetml.chartsheet+xml"/>
  <Override PartName="/xl/chartsheets/sheet31.xml" ContentType="application/vnd.openxmlformats-officedocument.spreadsheetml.chartsheet+xml"/>
  <Override PartName="/xl/chartsheets/sheet32.xml" ContentType="application/vnd.openxmlformats-officedocument.spreadsheetml.chartsheet+xml"/>
  <Override PartName="/xl/chartsheets/sheet3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levinson/Documents/Papers/~05-Published/Transportation Research Record - Journal of the Transportation Research Board/TRR-MULTIMODAL/"/>
    </mc:Choice>
  </mc:AlternateContent>
  <xr:revisionPtr revIDLastSave="0" documentId="8_{E5D1D8D7-93F3-D14F-B787-B70373AD1D4A}" xr6:coauthVersionLast="47" xr6:coauthVersionMax="47" xr10:uidLastSave="{00000000-0000-0000-0000-000000000000}"/>
  <bookViews>
    <workbookView xWindow="0" yWindow="0" windowWidth="51200" windowHeight="28800" activeTab="8"/>
  </bookViews>
  <sheets>
    <sheet name="A" sheetId="1" r:id="rId1"/>
    <sheet name="B" sheetId="2" r:id="rId2"/>
    <sheet name="Current" sheetId="3" r:id="rId3"/>
    <sheet name="AU2+.68-88" sheetId="4" r:id="rId4"/>
    <sheet name="AUTO1.88" sheetId="5" r:id="rId5"/>
    <sheet name="CUM.1968" sheetId="6" r:id="rId6"/>
    <sheet name="CUM.1988" sheetId="7" r:id="rId7"/>
    <sheet name="CUM.88.NW" sheetId="8" r:id="rId8"/>
    <sheet name="CUM.88.WK.AUTOS" sheetId="9" r:id="rId9"/>
    <sheet name="CUM.88.WORK" sheetId="10" r:id="rId10"/>
    <sheet name="CUM.CHN.68.88" sheetId="11" r:id="rId11"/>
    <sheet name="D.CUM.AU1" sheetId="12" r:id="rId12"/>
    <sheet name="D.CUM.AU2" sheetId="13" r:id="rId13"/>
    <sheet name="D.CUM.WALK" sheetId="14" r:id="rId14"/>
    <sheet name="D.CUM.WCT" sheetId="15" r:id="rId15"/>
    <sheet name="INOP" sheetId="16" r:id="rId16"/>
    <sheet name="NW.68-88.CUM" sheetId="17" r:id="rId17"/>
    <sheet name="NW.68.DATA" sheetId="18" r:id="rId18"/>
    <sheet name="NW.68.TRN.STO" sheetId="19" r:id="rId19"/>
    <sheet name="NW.AU.88.STO" sheetId="20" r:id="rId20"/>
    <sheet name="NW.AU1.68.STO" sheetId="21" r:id="rId21"/>
    <sheet name="NW.CUM.AU1" sheetId="22" r:id="rId22"/>
    <sheet name="PMO1" sheetId="23" r:id="rId23"/>
    <sheet name="RAIL.ACCESS" sheetId="24" r:id="rId24"/>
    <sheet name="STO.ALL" sheetId="25" r:id="rId25"/>
    <sheet name="STO.ALL.CUM" sheetId="26" r:id="rId26"/>
    <sheet name="STO.AU1.CUM" sheetId="27" r:id="rId27"/>
    <sheet name="STO.NAUTO" sheetId="28" r:id="rId28"/>
    <sheet name="STO.TRN1" sheetId="29" r:id="rId29"/>
    <sheet name="STO.TRN1.CUM" sheetId="30" r:id="rId30"/>
    <sheet name="TRN.68-88" sheetId="31" r:id="rId31"/>
    <sheet name="TRN.WORK.88" sheetId="32" r:id="rId32"/>
    <sheet name="WK.68.WALK.STO" sheetId="33" r:id="rId33"/>
    <sheet name="WK.TRN.68.STO" sheetId="34" r:id="rId34"/>
    <sheet name="WKAU88CUMSTO" sheetId="35" r:id="rId35"/>
  </sheets>
  <definedNames>
    <definedName name="_Fill" hidden="1">A!$Q$7:$Q$24</definedName>
    <definedName name="_Regression_Out" hidden="1">A!$CP$18</definedName>
    <definedName name="_Regression_X" hidden="1">A!$CZ$4:$CZ$21</definedName>
    <definedName name="_Regression_Y" hidden="1">A!$AZ$7:$AZ$24</definedName>
  </definedNames>
  <calcPr calcId="191029" iterate="1" iterateCount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K4" i="1" l="1"/>
  <c r="DK5" i="1"/>
  <c r="DK6" i="1"/>
  <c r="L7" i="1"/>
  <c r="M7" i="1"/>
  <c r="N7" i="1"/>
  <c r="AD7" i="1" s="1"/>
  <c r="O7" i="1"/>
  <c r="AE7" i="1" s="1"/>
  <c r="R7" i="1"/>
  <c r="S7" i="1"/>
  <c r="T7" i="1"/>
  <c r="U7" i="1"/>
  <c r="V7" i="1"/>
  <c r="W7" i="1"/>
  <c r="X7" i="1"/>
  <c r="Y7" i="1"/>
  <c r="Z7" i="1"/>
  <c r="AA7" i="1"/>
  <c r="AB7" i="1"/>
  <c r="AC7" i="1"/>
  <c r="AJ7" i="1"/>
  <c r="BT7" i="1"/>
  <c r="BU7" i="1"/>
  <c r="BV7" i="1"/>
  <c r="DK7" i="1"/>
  <c r="L8" i="1"/>
  <c r="AB8" i="1" s="1"/>
  <c r="M8" i="1"/>
  <c r="N8" i="1" s="1"/>
  <c r="AD8" i="1" s="1"/>
  <c r="AF8" i="1" s="1"/>
  <c r="O8" i="1"/>
  <c r="R8" i="1"/>
  <c r="S8" i="1"/>
  <c r="T8" i="1"/>
  <c r="U8" i="1"/>
  <c r="V8" i="1"/>
  <c r="W8" i="1"/>
  <c r="X8" i="1"/>
  <c r="Y8" i="1"/>
  <c r="Z8" i="1"/>
  <c r="AA8" i="1"/>
  <c r="AE8" i="1"/>
  <c r="AG8" i="1" s="1"/>
  <c r="AJ8" i="1"/>
  <c r="BU8" i="1"/>
  <c r="BT8" i="1" s="1"/>
  <c r="BV8" i="1"/>
  <c r="BW8" i="1" s="1"/>
  <c r="DK8" i="1"/>
  <c r="L9" i="1"/>
  <c r="M9" i="1"/>
  <c r="N9" i="1"/>
  <c r="AD9" i="1" s="1"/>
  <c r="O9" i="1"/>
  <c r="AE9" i="1" s="1"/>
  <c r="R9" i="1"/>
  <c r="S9" i="1"/>
  <c r="T9" i="1"/>
  <c r="U9" i="1"/>
  <c r="V9" i="1"/>
  <c r="W9" i="1"/>
  <c r="X9" i="1"/>
  <c r="Y9" i="1"/>
  <c r="Z9" i="1"/>
  <c r="AA9" i="1"/>
  <c r="AB9" i="1"/>
  <c r="AC9" i="1"/>
  <c r="AJ9" i="1"/>
  <c r="BT9" i="1"/>
  <c r="BU9" i="1"/>
  <c r="BW9" i="1" s="1"/>
  <c r="BV9" i="1"/>
  <c r="DK9" i="1"/>
  <c r="L10" i="1"/>
  <c r="AB10" i="1" s="1"/>
  <c r="M10" i="1"/>
  <c r="N10" i="1" s="1"/>
  <c r="AD10" i="1" s="1"/>
  <c r="AF10" i="1" s="1"/>
  <c r="O10" i="1"/>
  <c r="R10" i="1"/>
  <c r="S10" i="1"/>
  <c r="T10" i="1"/>
  <c r="U10" i="1"/>
  <c r="V10" i="1"/>
  <c r="W10" i="1"/>
  <c r="X10" i="1"/>
  <c r="Y10" i="1"/>
  <c r="Z10" i="1"/>
  <c r="AA10" i="1"/>
  <c r="AC10" i="1"/>
  <c r="AE10" i="1"/>
  <c r="AG10" i="1" s="1"/>
  <c r="AJ10" i="1"/>
  <c r="BU10" i="1"/>
  <c r="BT10" i="1" s="1"/>
  <c r="BV10" i="1"/>
  <c r="BW10" i="1" s="1"/>
  <c r="CA10" i="1"/>
  <c r="CB10" i="1"/>
  <c r="DK10" i="1"/>
  <c r="L11" i="1"/>
  <c r="AB11" i="1" s="1"/>
  <c r="M11" i="1"/>
  <c r="N11" i="1" s="1"/>
  <c r="AD11" i="1" s="1"/>
  <c r="AF11" i="1" s="1"/>
  <c r="O11" i="1"/>
  <c r="AE11" i="1" s="1"/>
  <c r="R11" i="1"/>
  <c r="S11" i="1"/>
  <c r="T11" i="1"/>
  <c r="U11" i="1"/>
  <c r="V11" i="1"/>
  <c r="W11" i="1"/>
  <c r="X11" i="1"/>
  <c r="Y11" i="1"/>
  <c r="Z11" i="1"/>
  <c r="AA11" i="1"/>
  <c r="AJ11" i="1"/>
  <c r="BT11" i="1"/>
  <c r="BU11" i="1"/>
  <c r="BV11" i="1"/>
  <c r="BW11" i="1" s="1"/>
  <c r="DK11" i="1"/>
  <c r="L12" i="1"/>
  <c r="M12" i="1"/>
  <c r="N12" i="1" s="1"/>
  <c r="AD12" i="1" s="1"/>
  <c r="AF12" i="1" s="1"/>
  <c r="O12" i="1"/>
  <c r="AE12" i="1" s="1"/>
  <c r="R12" i="1"/>
  <c r="S12" i="1"/>
  <c r="T12" i="1"/>
  <c r="U12" i="1"/>
  <c r="V12" i="1"/>
  <c r="W12" i="1"/>
  <c r="X12" i="1"/>
  <c r="Y12" i="1"/>
  <c r="Z12" i="1"/>
  <c r="AA12" i="1"/>
  <c r="AB12" i="1"/>
  <c r="AC12" i="1"/>
  <c r="AJ12" i="1"/>
  <c r="BT12" i="1"/>
  <c r="BU12" i="1"/>
  <c r="BV12" i="1"/>
  <c r="DK12" i="1"/>
  <c r="L13" i="1"/>
  <c r="AB13" i="1" s="1"/>
  <c r="M13" i="1"/>
  <c r="N13" i="1" s="1"/>
  <c r="AD13" i="1" s="1"/>
  <c r="AF13" i="1" s="1"/>
  <c r="O13" i="1"/>
  <c r="R13" i="1"/>
  <c r="S13" i="1"/>
  <c r="T13" i="1"/>
  <c r="U13" i="1"/>
  <c r="V13" i="1"/>
  <c r="W13" i="1"/>
  <c r="X13" i="1"/>
  <c r="Y13" i="1"/>
  <c r="Z13" i="1"/>
  <c r="AA13" i="1"/>
  <c r="AC13" i="1"/>
  <c r="AE13" i="1"/>
  <c r="AG13" i="1" s="1"/>
  <c r="AJ13" i="1"/>
  <c r="BT13" i="1"/>
  <c r="BU13" i="1"/>
  <c r="BV13" i="1"/>
  <c r="BW13" i="1" s="1"/>
  <c r="DK13" i="1"/>
  <c r="L14" i="1"/>
  <c r="M14" i="1"/>
  <c r="N14" i="1" s="1"/>
  <c r="AD14" i="1" s="1"/>
  <c r="AF14" i="1" s="1"/>
  <c r="O14" i="1"/>
  <c r="R14" i="1"/>
  <c r="S14" i="1"/>
  <c r="T14" i="1"/>
  <c r="U14" i="1"/>
  <c r="V14" i="1"/>
  <c r="W14" i="1"/>
  <c r="X14" i="1"/>
  <c r="Y14" i="1"/>
  <c r="Z14" i="1"/>
  <c r="AA14" i="1"/>
  <c r="AB14" i="1"/>
  <c r="AC14" i="1"/>
  <c r="AE14" i="1"/>
  <c r="AG14" i="1" s="1"/>
  <c r="AJ14" i="1"/>
  <c r="BT14" i="1"/>
  <c r="BU14" i="1"/>
  <c r="BV14" i="1"/>
  <c r="CR14" i="1"/>
  <c r="DK14" i="1"/>
  <c r="L15" i="1"/>
  <c r="O15" i="1" s="1"/>
  <c r="M15" i="1"/>
  <c r="R15" i="1"/>
  <c r="S15" i="1"/>
  <c r="T15" i="1"/>
  <c r="U15" i="1"/>
  <c r="V15" i="1"/>
  <c r="W15" i="1"/>
  <c r="X15" i="1"/>
  <c r="Y15" i="1"/>
  <c r="Z15" i="1"/>
  <c r="AA15" i="1"/>
  <c r="AE15" i="1"/>
  <c r="AJ15" i="1"/>
  <c r="BU15" i="1"/>
  <c r="BT15" i="1" s="1"/>
  <c r="BV15" i="1"/>
  <c r="BW15" i="1" s="1"/>
  <c r="DK15" i="1"/>
  <c r="L16" i="1"/>
  <c r="AB16" i="1" s="1"/>
  <c r="M16" i="1"/>
  <c r="N16" i="1"/>
  <c r="AD16" i="1" s="1"/>
  <c r="O16" i="1"/>
  <c r="AE16" i="1" s="1"/>
  <c r="R16" i="1"/>
  <c r="S16" i="1"/>
  <c r="T16" i="1"/>
  <c r="U16" i="1"/>
  <c r="V16" i="1"/>
  <c r="W16" i="1"/>
  <c r="X16" i="1"/>
  <c r="Y16" i="1"/>
  <c r="Z16" i="1"/>
  <c r="AA16" i="1"/>
  <c r="AC16" i="1"/>
  <c r="AF16" i="1"/>
  <c r="AJ16" i="1"/>
  <c r="BU16" i="1"/>
  <c r="BT16" i="1" s="1"/>
  <c r="BV16" i="1"/>
  <c r="DK16" i="1"/>
  <c r="L17" i="1"/>
  <c r="M17" i="1"/>
  <c r="N17" i="1"/>
  <c r="AD17" i="1" s="1"/>
  <c r="O17" i="1"/>
  <c r="AE17" i="1" s="1"/>
  <c r="R17" i="1"/>
  <c r="S17" i="1"/>
  <c r="T17" i="1"/>
  <c r="U17" i="1"/>
  <c r="V17" i="1"/>
  <c r="W17" i="1"/>
  <c r="X17" i="1"/>
  <c r="Y17" i="1"/>
  <c r="Z17" i="1"/>
  <c r="AA17" i="1"/>
  <c r="AB17" i="1"/>
  <c r="AC17" i="1"/>
  <c r="AJ17" i="1"/>
  <c r="BU17" i="1"/>
  <c r="BT17" i="1" s="1"/>
  <c r="BV17" i="1"/>
  <c r="BW17" i="1"/>
  <c r="DK17" i="1"/>
  <c r="L18" i="1"/>
  <c r="O18" i="1" s="1"/>
  <c r="AE18" i="1" s="1"/>
  <c r="M18" i="1"/>
  <c r="N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J18" i="1"/>
  <c r="BT18" i="1"/>
  <c r="BU18" i="1"/>
  <c r="BV18" i="1"/>
  <c r="BW18" i="1" s="1"/>
  <c r="DK18" i="1"/>
  <c r="L19" i="1"/>
  <c r="O19" i="1" s="1"/>
  <c r="M19" i="1"/>
  <c r="R19" i="1"/>
  <c r="S19" i="1"/>
  <c r="T19" i="1"/>
  <c r="U19" i="1"/>
  <c r="V19" i="1"/>
  <c r="AO19" i="1" s="1"/>
  <c r="W19" i="1"/>
  <c r="X19" i="1"/>
  <c r="Y19" i="1"/>
  <c r="Z19" i="1"/>
  <c r="AA19" i="1"/>
  <c r="AB19" i="1"/>
  <c r="AE19" i="1"/>
  <c r="AJ19" i="1"/>
  <c r="BU19" i="1"/>
  <c r="BV19" i="1"/>
  <c r="DK19" i="1"/>
  <c r="L20" i="1"/>
  <c r="M20" i="1"/>
  <c r="N20" i="1"/>
  <c r="AD20" i="1" s="1"/>
  <c r="O20" i="1"/>
  <c r="AE20" i="1" s="1"/>
  <c r="R20" i="1"/>
  <c r="S20" i="1"/>
  <c r="T20" i="1"/>
  <c r="U20" i="1"/>
  <c r="V20" i="1"/>
  <c r="W20" i="1"/>
  <c r="X20" i="1"/>
  <c r="AQ20" i="1" s="1"/>
  <c r="Y20" i="1"/>
  <c r="AR20" i="1" s="1"/>
  <c r="Z20" i="1"/>
  <c r="AA20" i="1"/>
  <c r="AB20" i="1"/>
  <c r="AC20" i="1"/>
  <c r="AJ20" i="1"/>
  <c r="AX20" i="1"/>
  <c r="BU20" i="1"/>
  <c r="BT20" i="1" s="1"/>
  <c r="BV20" i="1"/>
  <c r="DK20" i="1"/>
  <c r="L21" i="1"/>
  <c r="AB21" i="1" s="1"/>
  <c r="M21" i="1"/>
  <c r="O21" i="1"/>
  <c r="AE21" i="1" s="1"/>
  <c r="R21" i="1"/>
  <c r="S21" i="1"/>
  <c r="T21" i="1"/>
  <c r="U21" i="1"/>
  <c r="V21" i="1"/>
  <c r="W21" i="1"/>
  <c r="X21" i="1"/>
  <c r="Y21" i="1"/>
  <c r="Z21" i="1"/>
  <c r="AA21" i="1"/>
  <c r="AJ21" i="1"/>
  <c r="AL21" i="1"/>
  <c r="BU21" i="1"/>
  <c r="BT21" i="1" s="1"/>
  <c r="BV21" i="1"/>
  <c r="L22" i="1"/>
  <c r="M22" i="1"/>
  <c r="O22" i="1"/>
  <c r="AE22" i="1" s="1"/>
  <c r="R22" i="1"/>
  <c r="S22" i="1"/>
  <c r="T22" i="1"/>
  <c r="U22" i="1"/>
  <c r="V22" i="1"/>
  <c r="AO22" i="1" s="1"/>
  <c r="W22" i="1"/>
  <c r="X22" i="1"/>
  <c r="Y22" i="1"/>
  <c r="AR22" i="1" s="1"/>
  <c r="Z22" i="1"/>
  <c r="AA22" i="1"/>
  <c r="AA27" i="1" s="1"/>
  <c r="AT18" i="1" s="1"/>
  <c r="AB22" i="1"/>
  <c r="AJ22" i="1"/>
  <c r="AT22" i="1"/>
  <c r="BT22" i="1"/>
  <c r="BU22" i="1"/>
  <c r="BV22" i="1"/>
  <c r="BW22" i="1"/>
  <c r="DJ22" i="1"/>
  <c r="L23" i="1"/>
  <c r="M23" i="1"/>
  <c r="N23" i="1" s="1"/>
  <c r="AD23" i="1" s="1"/>
  <c r="AF23" i="1" s="1"/>
  <c r="O23" i="1"/>
  <c r="R23" i="1"/>
  <c r="S23" i="1"/>
  <c r="T23" i="1"/>
  <c r="U23" i="1"/>
  <c r="V23" i="1"/>
  <c r="W23" i="1"/>
  <c r="X23" i="1"/>
  <c r="Y23" i="1"/>
  <c r="Z23" i="1"/>
  <c r="AA23" i="1"/>
  <c r="AT23" i="1" s="1"/>
  <c r="AB23" i="1"/>
  <c r="AE23" i="1"/>
  <c r="AG23" i="1" s="1"/>
  <c r="AJ23" i="1"/>
  <c r="BT23" i="1"/>
  <c r="BU23" i="1"/>
  <c r="BW23" i="1" s="1"/>
  <c r="BV23" i="1"/>
  <c r="DF23" i="1"/>
  <c r="DJ17" i="1" s="1"/>
  <c r="L24" i="1"/>
  <c r="AB24" i="1" s="1"/>
  <c r="M24" i="1"/>
  <c r="O24" i="1"/>
  <c r="O27" i="1" s="1"/>
  <c r="R24" i="1"/>
  <c r="S24" i="1"/>
  <c r="T24" i="1"/>
  <c r="U24" i="1"/>
  <c r="V24" i="1"/>
  <c r="W24" i="1"/>
  <c r="X24" i="1"/>
  <c r="Y24" i="1"/>
  <c r="Z24" i="1"/>
  <c r="AA24" i="1"/>
  <c r="AE24" i="1"/>
  <c r="AJ24" i="1"/>
  <c r="BU24" i="1"/>
  <c r="BV24" i="1"/>
  <c r="B27" i="1"/>
  <c r="C27" i="1"/>
  <c r="D27" i="1"/>
  <c r="E27" i="1"/>
  <c r="F27" i="1"/>
  <c r="G27" i="1"/>
  <c r="H27" i="1"/>
  <c r="I27" i="1"/>
  <c r="J27" i="1"/>
  <c r="K27" i="1"/>
  <c r="L27" i="1"/>
  <c r="S27" i="1"/>
  <c r="AL23" i="1" s="1"/>
  <c r="U27" i="1"/>
  <c r="AN21" i="1" s="1"/>
  <c r="V27" i="1"/>
  <c r="X27" i="1"/>
  <c r="AQ15" i="1" s="1"/>
  <c r="Y27" i="1"/>
  <c r="AE27" i="1"/>
  <c r="F54" i="1"/>
  <c r="V54" i="1" s="1"/>
  <c r="AO54" i="1" s="1"/>
  <c r="BF54" i="1" s="1"/>
  <c r="R54" i="1"/>
  <c r="S54" i="1"/>
  <c r="T54" i="1"/>
  <c r="U54" i="1"/>
  <c r="BU54" i="1"/>
  <c r="BT54" i="1" s="1"/>
  <c r="BV54" i="1"/>
  <c r="F55" i="1"/>
  <c r="R55" i="1"/>
  <c r="S55" i="1"/>
  <c r="T55" i="1"/>
  <c r="U55" i="1"/>
  <c r="V55" i="1"/>
  <c r="AO55" i="1"/>
  <c r="BT55" i="1"/>
  <c r="BU55" i="1"/>
  <c r="BV55" i="1"/>
  <c r="BW55" i="1"/>
  <c r="F56" i="1"/>
  <c r="R56" i="1"/>
  <c r="S56" i="1"/>
  <c r="T56" i="1"/>
  <c r="U56" i="1"/>
  <c r="V56" i="1"/>
  <c r="AO56" i="1" s="1"/>
  <c r="BU56" i="1"/>
  <c r="BT56" i="1" s="1"/>
  <c r="BV56" i="1"/>
  <c r="BW56" i="1"/>
  <c r="F57" i="1"/>
  <c r="V57" i="1" s="1"/>
  <c r="AO57" i="1" s="1"/>
  <c r="R57" i="1"/>
  <c r="S57" i="1"/>
  <c r="T57" i="1"/>
  <c r="U57" i="1"/>
  <c r="BT57" i="1"/>
  <c r="BU57" i="1"/>
  <c r="BW57" i="1" s="1"/>
  <c r="BV57" i="1"/>
  <c r="F58" i="1"/>
  <c r="R58" i="1"/>
  <c r="S58" i="1"/>
  <c r="T58" i="1"/>
  <c r="U58" i="1"/>
  <c r="V58" i="1"/>
  <c r="AO58" i="1"/>
  <c r="BT58" i="1"/>
  <c r="BU58" i="1"/>
  <c r="BV58" i="1"/>
  <c r="BW58" i="1"/>
  <c r="F59" i="1"/>
  <c r="R59" i="1"/>
  <c r="S59" i="1"/>
  <c r="T59" i="1"/>
  <c r="U59" i="1"/>
  <c r="V59" i="1"/>
  <c r="AO59" i="1" s="1"/>
  <c r="BU59" i="1"/>
  <c r="BV59" i="1"/>
  <c r="F60" i="1"/>
  <c r="R60" i="1"/>
  <c r="S60" i="1"/>
  <c r="T60" i="1"/>
  <c r="U60" i="1"/>
  <c r="V60" i="1"/>
  <c r="AO60" i="1" s="1"/>
  <c r="BT60" i="1"/>
  <c r="BU60" i="1"/>
  <c r="BV60" i="1"/>
  <c r="BW60" i="1"/>
  <c r="F61" i="1"/>
  <c r="R61" i="1"/>
  <c r="S61" i="1"/>
  <c r="T61" i="1"/>
  <c r="U61" i="1"/>
  <c r="V61" i="1"/>
  <c r="AO61" i="1" s="1"/>
  <c r="BU61" i="1"/>
  <c r="BT61" i="1" s="1"/>
  <c r="BV61" i="1"/>
  <c r="BW61" i="1"/>
  <c r="F62" i="1"/>
  <c r="V62" i="1" s="1"/>
  <c r="AO62" i="1" s="1"/>
  <c r="R62" i="1"/>
  <c r="S62" i="1"/>
  <c r="T62" i="1"/>
  <c r="U62" i="1"/>
  <c r="BT62" i="1"/>
  <c r="BU62" i="1"/>
  <c r="BV62" i="1"/>
  <c r="BW62" i="1"/>
  <c r="CB62" i="1"/>
  <c r="CC62" i="1"/>
  <c r="F63" i="1"/>
  <c r="R63" i="1"/>
  <c r="S63" i="1"/>
  <c r="T63" i="1"/>
  <c r="U63" i="1"/>
  <c r="V63" i="1"/>
  <c r="AO63" i="1" s="1"/>
  <c r="BU63" i="1"/>
  <c r="BT63" i="1" s="1"/>
  <c r="BV63" i="1"/>
  <c r="BW63" i="1"/>
  <c r="F64" i="1"/>
  <c r="V64" i="1" s="1"/>
  <c r="AO64" i="1" s="1"/>
  <c r="R64" i="1"/>
  <c r="S64" i="1"/>
  <c r="T64" i="1"/>
  <c r="U64" i="1"/>
  <c r="BT64" i="1"/>
  <c r="BU64" i="1"/>
  <c r="BV64" i="1"/>
  <c r="BW64" i="1"/>
  <c r="F65" i="1"/>
  <c r="V65" i="1" s="1"/>
  <c r="R65" i="1"/>
  <c r="S65" i="1"/>
  <c r="T65" i="1"/>
  <c r="U65" i="1"/>
  <c r="AO65" i="1"/>
  <c r="BT65" i="1"/>
  <c r="BU65" i="1"/>
  <c r="BW65" i="1" s="1"/>
  <c r="BV65" i="1"/>
  <c r="F66" i="1"/>
  <c r="V66" i="1" s="1"/>
  <c r="AO66" i="1" s="1"/>
  <c r="R66" i="1"/>
  <c r="S66" i="1"/>
  <c r="T66" i="1"/>
  <c r="U66" i="1"/>
  <c r="BU66" i="1"/>
  <c r="BW66" i="1" s="1"/>
  <c r="BV66" i="1"/>
  <c r="F67" i="1"/>
  <c r="R67" i="1"/>
  <c r="S67" i="1"/>
  <c r="T67" i="1"/>
  <c r="U67" i="1"/>
  <c r="V67" i="1"/>
  <c r="AO67" i="1"/>
  <c r="BU67" i="1"/>
  <c r="BW67" i="1" s="1"/>
  <c r="BV67" i="1"/>
  <c r="F68" i="1"/>
  <c r="R68" i="1"/>
  <c r="S68" i="1"/>
  <c r="T68" i="1"/>
  <c r="U68" i="1"/>
  <c r="V68" i="1"/>
  <c r="AO68" i="1"/>
  <c r="BT68" i="1"/>
  <c r="BU68" i="1"/>
  <c r="BV68" i="1"/>
  <c r="BW68" i="1"/>
  <c r="F69" i="1"/>
  <c r="R69" i="1"/>
  <c r="S69" i="1"/>
  <c r="T69" i="1"/>
  <c r="U69" i="1"/>
  <c r="V69" i="1"/>
  <c r="AO69" i="1" s="1"/>
  <c r="BU69" i="1"/>
  <c r="BT69" i="1" s="1"/>
  <c r="BV69" i="1"/>
  <c r="F70" i="1"/>
  <c r="R70" i="1"/>
  <c r="S70" i="1"/>
  <c r="T70" i="1"/>
  <c r="U70" i="1"/>
  <c r="V70" i="1"/>
  <c r="AO70" i="1" s="1"/>
  <c r="BT70" i="1"/>
  <c r="BU70" i="1"/>
  <c r="BV70" i="1"/>
  <c r="BW70" i="1"/>
  <c r="F71" i="1"/>
  <c r="V71" i="1" s="1"/>
  <c r="AO71" i="1" s="1"/>
  <c r="R71" i="1"/>
  <c r="S71" i="1"/>
  <c r="T71" i="1"/>
  <c r="U71" i="1"/>
  <c r="BU71" i="1"/>
  <c r="BT71" i="1" s="1"/>
  <c r="BV71" i="1"/>
  <c r="BW71" i="1"/>
  <c r="F72" i="1"/>
  <c r="AO72" i="1"/>
  <c r="BU72" i="1"/>
  <c r="BW72" i="1" s="1"/>
  <c r="BV72" i="1"/>
  <c r="B74" i="1"/>
  <c r="C74" i="1"/>
  <c r="D74" i="1"/>
  <c r="E74" i="1"/>
  <c r="F105" i="1"/>
  <c r="AM105" i="1"/>
  <c r="BD105" i="1" s="1"/>
  <c r="BU105" i="1"/>
  <c r="BT105" i="1" s="1"/>
  <c r="BW105" i="1" s="1"/>
  <c r="BV105" i="1"/>
  <c r="F106" i="1"/>
  <c r="BU106" i="1"/>
  <c r="BT106" i="1" s="1"/>
  <c r="BW106" i="1" s="1"/>
  <c r="BV106" i="1"/>
  <c r="F107" i="1"/>
  <c r="BT107" i="1"/>
  <c r="BW107" i="1" s="1"/>
  <c r="BU107" i="1"/>
  <c r="BV107" i="1"/>
  <c r="F108" i="1"/>
  <c r="BT108" i="1"/>
  <c r="BW108" i="1" s="1"/>
  <c r="BU108" i="1"/>
  <c r="BV108" i="1"/>
  <c r="F109" i="1"/>
  <c r="AM109" i="1"/>
  <c r="BT109" i="1"/>
  <c r="BW109" i="1" s="1"/>
  <c r="BU109" i="1"/>
  <c r="BV109" i="1"/>
  <c r="F110" i="1"/>
  <c r="BU110" i="1"/>
  <c r="BT110" i="1" s="1"/>
  <c r="BW110" i="1" s="1"/>
  <c r="BV110" i="1"/>
  <c r="F111" i="1"/>
  <c r="AL111" i="1"/>
  <c r="BU111" i="1"/>
  <c r="BT111" i="1" s="1"/>
  <c r="BW111" i="1" s="1"/>
  <c r="BV111" i="1"/>
  <c r="F112" i="1"/>
  <c r="BU112" i="1"/>
  <c r="BT112" i="1" s="1"/>
  <c r="BV112" i="1"/>
  <c r="BW112" i="1"/>
  <c r="F113" i="1"/>
  <c r="BU113" i="1"/>
  <c r="BT113" i="1" s="1"/>
  <c r="BW113" i="1" s="1"/>
  <c r="BV113" i="1"/>
  <c r="CB113" i="1"/>
  <c r="CC113" i="1"/>
  <c r="F114" i="1"/>
  <c r="AK114" i="1"/>
  <c r="AL114" i="1"/>
  <c r="BU114" i="1"/>
  <c r="BT114" i="1" s="1"/>
  <c r="BW114" i="1" s="1"/>
  <c r="BV114" i="1"/>
  <c r="F115" i="1"/>
  <c r="BU115" i="1"/>
  <c r="BT115" i="1" s="1"/>
  <c r="BW115" i="1" s="1"/>
  <c r="BV115" i="1"/>
  <c r="F116" i="1"/>
  <c r="BU116" i="1"/>
  <c r="BT116" i="1" s="1"/>
  <c r="BW116" i="1" s="1"/>
  <c r="BV116" i="1"/>
  <c r="F117" i="1"/>
  <c r="BU117" i="1"/>
  <c r="BT117" i="1" s="1"/>
  <c r="BW117" i="1" s="1"/>
  <c r="BV117" i="1"/>
  <c r="F118" i="1"/>
  <c r="AK118" i="1"/>
  <c r="AL118" i="1"/>
  <c r="BU118" i="1"/>
  <c r="BT118" i="1" s="1"/>
  <c r="BW118" i="1" s="1"/>
  <c r="BV118" i="1"/>
  <c r="F119" i="1"/>
  <c r="BU119" i="1"/>
  <c r="BT119" i="1" s="1"/>
  <c r="BV119" i="1"/>
  <c r="BW119" i="1"/>
  <c r="F120" i="1"/>
  <c r="AK120" i="1"/>
  <c r="BU120" i="1"/>
  <c r="BT120" i="1" s="1"/>
  <c r="BW120" i="1" s="1"/>
  <c r="BV120" i="1"/>
  <c r="F121" i="1"/>
  <c r="BU121" i="1"/>
  <c r="BT121" i="1" s="1"/>
  <c r="BW121" i="1" s="1"/>
  <c r="BV121" i="1"/>
  <c r="F122" i="1"/>
  <c r="AK122" i="1"/>
  <c r="AL122" i="1"/>
  <c r="BU122" i="1"/>
  <c r="BT122" i="1" s="1"/>
  <c r="BW122" i="1" s="1"/>
  <c r="BV122" i="1"/>
  <c r="F123" i="1"/>
  <c r="BT123" i="1"/>
  <c r="BW123" i="1" s="1"/>
  <c r="BU123" i="1"/>
  <c r="BV123" i="1"/>
  <c r="B125" i="1"/>
  <c r="AK112" i="1" s="1"/>
  <c r="C125" i="1"/>
  <c r="AL105" i="1" s="1"/>
  <c r="BC105" i="1" s="1"/>
  <c r="D125" i="1"/>
  <c r="AM111" i="1" s="1"/>
  <c r="E125" i="1"/>
  <c r="AN117" i="1" s="1"/>
  <c r="H145" i="1"/>
  <c r="H146" i="1"/>
  <c r="H147" i="1"/>
  <c r="H154" i="1" s="1"/>
  <c r="H148" i="1"/>
  <c r="H149" i="1"/>
  <c r="H150" i="1"/>
  <c r="H151" i="1"/>
  <c r="H152" i="1"/>
  <c r="B154" i="1"/>
  <c r="C154" i="1"/>
  <c r="F5" i="2"/>
  <c r="R5" i="2"/>
  <c r="S5" i="2"/>
  <c r="T5" i="2"/>
  <c r="U5" i="2"/>
  <c r="F6" i="2"/>
  <c r="R6" i="2"/>
  <c r="S6" i="2"/>
  <c r="T6" i="2"/>
  <c r="U6" i="2"/>
  <c r="F7" i="2"/>
  <c r="R7" i="2"/>
  <c r="S7" i="2"/>
  <c r="T7" i="2"/>
  <c r="U7" i="2"/>
  <c r="F8" i="2"/>
  <c r="R8" i="2"/>
  <c r="S8" i="2"/>
  <c r="T8" i="2"/>
  <c r="U8" i="2"/>
  <c r="F9" i="2"/>
  <c r="R9" i="2"/>
  <c r="S9" i="2"/>
  <c r="T9" i="2"/>
  <c r="U9" i="2"/>
  <c r="F10" i="2"/>
  <c r="R10" i="2"/>
  <c r="S10" i="2"/>
  <c r="T10" i="2"/>
  <c r="U10" i="2"/>
  <c r="F11" i="2"/>
  <c r="R11" i="2"/>
  <c r="S11" i="2"/>
  <c r="T11" i="2"/>
  <c r="U11" i="2"/>
  <c r="F12" i="2"/>
  <c r="R12" i="2"/>
  <c r="S12" i="2"/>
  <c r="T12" i="2"/>
  <c r="U12" i="2"/>
  <c r="F13" i="2"/>
  <c r="G13" i="2"/>
  <c r="R13" i="2"/>
  <c r="S13" i="2"/>
  <c r="T13" i="2"/>
  <c r="U13" i="2"/>
  <c r="F14" i="2"/>
  <c r="R14" i="2"/>
  <c r="S14" i="2"/>
  <c r="T14" i="2"/>
  <c r="U14" i="2"/>
  <c r="F15" i="2"/>
  <c r="R15" i="2"/>
  <c r="S15" i="2"/>
  <c r="T15" i="2"/>
  <c r="U15" i="2"/>
  <c r="F16" i="2"/>
  <c r="G16" i="2"/>
  <c r="I16" i="2"/>
  <c r="R16" i="2"/>
  <c r="S16" i="2"/>
  <c r="T16" i="2"/>
  <c r="U16" i="2"/>
  <c r="F17" i="2"/>
  <c r="R17" i="2"/>
  <c r="S17" i="2"/>
  <c r="T17" i="2"/>
  <c r="U17" i="2"/>
  <c r="F18" i="2"/>
  <c r="K18" i="2" s="1"/>
  <c r="G18" i="2"/>
  <c r="R18" i="2"/>
  <c r="S18" i="2"/>
  <c r="T18" i="2"/>
  <c r="U18" i="2"/>
  <c r="F19" i="2"/>
  <c r="R19" i="2"/>
  <c r="S19" i="2"/>
  <c r="T19" i="2"/>
  <c r="U19" i="2"/>
  <c r="F20" i="2"/>
  <c r="K20" i="2" s="1"/>
  <c r="G20" i="2"/>
  <c r="J20" i="2"/>
  <c r="R20" i="2"/>
  <c r="S20" i="2"/>
  <c r="T20" i="2"/>
  <c r="U20" i="2"/>
  <c r="F21" i="2"/>
  <c r="G21" i="2"/>
  <c r="R21" i="2"/>
  <c r="S21" i="2"/>
  <c r="T21" i="2"/>
  <c r="U21" i="2"/>
  <c r="F22" i="2"/>
  <c r="J22" i="2"/>
  <c r="R22" i="2"/>
  <c r="S22" i="2"/>
  <c r="T22" i="2"/>
  <c r="U22" i="2"/>
  <c r="F23" i="2"/>
  <c r="G23" i="2"/>
  <c r="R23" i="2"/>
  <c r="S23" i="2"/>
  <c r="T23" i="2"/>
  <c r="Y23" i="2" s="1"/>
  <c r="U23" i="2"/>
  <c r="W23" i="2"/>
  <c r="B24" i="2"/>
  <c r="G6" i="2" s="1"/>
  <c r="C24" i="2"/>
  <c r="D24" i="2"/>
  <c r="I20" i="2" s="1"/>
  <c r="E24" i="2"/>
  <c r="F24" i="2"/>
  <c r="K12" i="2" s="1"/>
  <c r="R24" i="2"/>
  <c r="T24" i="2"/>
  <c r="Y18" i="2" s="1"/>
  <c r="R54" i="2"/>
  <c r="R73" i="2" s="1"/>
  <c r="S54" i="2"/>
  <c r="T54" i="2"/>
  <c r="R55" i="2"/>
  <c r="S55" i="2"/>
  <c r="T55" i="2"/>
  <c r="R56" i="2"/>
  <c r="S56" i="2"/>
  <c r="T56" i="2"/>
  <c r="R57" i="2"/>
  <c r="S57" i="2"/>
  <c r="T57" i="2"/>
  <c r="R58" i="2"/>
  <c r="W58" i="2" s="1"/>
  <c r="S58" i="2"/>
  <c r="T58" i="2"/>
  <c r="R59" i="2"/>
  <c r="S59" i="2"/>
  <c r="T59" i="2"/>
  <c r="R60" i="2"/>
  <c r="S60" i="2"/>
  <c r="T60" i="2"/>
  <c r="R61" i="2"/>
  <c r="S61" i="2"/>
  <c r="S73" i="2" s="1"/>
  <c r="T61" i="2"/>
  <c r="R62" i="2"/>
  <c r="W62" i="2" s="1"/>
  <c r="S62" i="2"/>
  <c r="T62" i="2"/>
  <c r="R63" i="2"/>
  <c r="S63" i="2"/>
  <c r="T63" i="2"/>
  <c r="R64" i="2"/>
  <c r="S64" i="2"/>
  <c r="T64" i="2"/>
  <c r="R65" i="2"/>
  <c r="S65" i="2"/>
  <c r="T65" i="2"/>
  <c r="R66" i="2"/>
  <c r="W66" i="2" s="1"/>
  <c r="S66" i="2"/>
  <c r="T66" i="2"/>
  <c r="R67" i="2"/>
  <c r="S67" i="2"/>
  <c r="T67" i="2"/>
  <c r="H68" i="2"/>
  <c r="R68" i="2"/>
  <c r="W68" i="2" s="1"/>
  <c r="S68" i="2"/>
  <c r="T68" i="2"/>
  <c r="R69" i="2"/>
  <c r="S69" i="2"/>
  <c r="T69" i="2"/>
  <c r="H70" i="2"/>
  <c r="R70" i="2"/>
  <c r="W70" i="2" s="1"/>
  <c r="S70" i="2"/>
  <c r="T70" i="2"/>
  <c r="R71" i="2"/>
  <c r="S71" i="2"/>
  <c r="T71" i="2"/>
  <c r="H72" i="2"/>
  <c r="R72" i="2"/>
  <c r="S72" i="2"/>
  <c r="X72" i="2" s="1"/>
  <c r="T72" i="2"/>
  <c r="B73" i="2"/>
  <c r="G54" i="2" s="1"/>
  <c r="L54" i="2" s="1"/>
  <c r="C73" i="2"/>
  <c r="H54" i="2" s="1"/>
  <c r="M54" i="2" s="1"/>
  <c r="D73" i="2"/>
  <c r="I61" i="2" s="1"/>
  <c r="R102" i="2"/>
  <c r="S102" i="2"/>
  <c r="T102" i="2"/>
  <c r="R103" i="2"/>
  <c r="S103" i="2"/>
  <c r="T103" i="2"/>
  <c r="U103" i="2"/>
  <c r="U120" i="2" s="1"/>
  <c r="Z102" i="2" s="1"/>
  <c r="R104" i="2"/>
  <c r="S104" i="2"/>
  <c r="T104" i="2"/>
  <c r="U104" i="2"/>
  <c r="Z104" i="2" s="1"/>
  <c r="R105" i="2"/>
  <c r="S105" i="2"/>
  <c r="T105" i="2"/>
  <c r="U105" i="2"/>
  <c r="Z105" i="2" s="1"/>
  <c r="R106" i="2"/>
  <c r="S106" i="2"/>
  <c r="T106" i="2"/>
  <c r="U106" i="2"/>
  <c r="Z106" i="2" s="1"/>
  <c r="R107" i="2"/>
  <c r="S107" i="2"/>
  <c r="T107" i="2"/>
  <c r="U107" i="2"/>
  <c r="Z107" i="2" s="1"/>
  <c r="R108" i="2"/>
  <c r="S108" i="2"/>
  <c r="T108" i="2"/>
  <c r="U108" i="2"/>
  <c r="Z108" i="2" s="1"/>
  <c r="R109" i="2"/>
  <c r="S109" i="2"/>
  <c r="T109" i="2"/>
  <c r="U109" i="2"/>
  <c r="Z109" i="2" s="1"/>
  <c r="R110" i="2"/>
  <c r="S110" i="2"/>
  <c r="T110" i="2"/>
  <c r="U110" i="2"/>
  <c r="Z110" i="2" s="1"/>
  <c r="R111" i="2"/>
  <c r="S111" i="2"/>
  <c r="T111" i="2"/>
  <c r="U111" i="2"/>
  <c r="Z111" i="2" s="1"/>
  <c r="R112" i="2"/>
  <c r="S112" i="2"/>
  <c r="T112" i="2"/>
  <c r="U112" i="2"/>
  <c r="Z112" i="2" s="1"/>
  <c r="R113" i="2"/>
  <c r="S113" i="2"/>
  <c r="T113" i="2"/>
  <c r="U113" i="2"/>
  <c r="Z113" i="2" s="1"/>
  <c r="R114" i="2"/>
  <c r="S114" i="2"/>
  <c r="T114" i="2"/>
  <c r="U114" i="2"/>
  <c r="Z114" i="2" s="1"/>
  <c r="R115" i="2"/>
  <c r="S115" i="2"/>
  <c r="T115" i="2"/>
  <c r="U115" i="2"/>
  <c r="Z115" i="2" s="1"/>
  <c r="R116" i="2"/>
  <c r="S116" i="2"/>
  <c r="T116" i="2"/>
  <c r="U116" i="2"/>
  <c r="Z116" i="2" s="1"/>
  <c r="R117" i="2"/>
  <c r="S117" i="2"/>
  <c r="T117" i="2"/>
  <c r="U117" i="2"/>
  <c r="Z117" i="2" s="1"/>
  <c r="R118" i="2"/>
  <c r="S118" i="2"/>
  <c r="T118" i="2"/>
  <c r="U118" i="2"/>
  <c r="Z118" i="2" s="1"/>
  <c r="R119" i="2"/>
  <c r="S119" i="2"/>
  <c r="T119" i="2"/>
  <c r="U119" i="2"/>
  <c r="Z119" i="2" s="1"/>
  <c r="B120" i="2"/>
  <c r="G118" i="2" s="1"/>
  <c r="C120" i="2"/>
  <c r="H103" i="2" s="1"/>
  <c r="D120" i="2"/>
  <c r="I113" i="2" s="1"/>
  <c r="E120" i="2"/>
  <c r="J119" i="2" s="1"/>
  <c r="S120" i="2"/>
  <c r="X104" i="2" s="1"/>
  <c r="W107" i="2" l="1"/>
  <c r="W105" i="2"/>
  <c r="W103" i="2"/>
  <c r="W60" i="2"/>
  <c r="W72" i="2"/>
  <c r="W113" i="2"/>
  <c r="W55" i="2"/>
  <c r="W57" i="2"/>
  <c r="W59" i="2"/>
  <c r="W61" i="2"/>
  <c r="W63" i="2"/>
  <c r="W65" i="2"/>
  <c r="W67" i="2"/>
  <c r="W69" i="2"/>
  <c r="W71" i="2"/>
  <c r="W119" i="2"/>
  <c r="Y115" i="2"/>
  <c r="W115" i="2"/>
  <c r="W118" i="2"/>
  <c r="W116" i="2"/>
  <c r="W114" i="2"/>
  <c r="W112" i="2"/>
  <c r="W106" i="2"/>
  <c r="W64" i="2"/>
  <c r="X57" i="2"/>
  <c r="X65" i="2"/>
  <c r="X69" i="2"/>
  <c r="X54" i="2"/>
  <c r="X56" i="2"/>
  <c r="X58" i="2"/>
  <c r="X60" i="2"/>
  <c r="X62" i="2"/>
  <c r="X64" i="2"/>
  <c r="X66" i="2"/>
  <c r="X68" i="2"/>
  <c r="X70" i="2"/>
  <c r="X59" i="2"/>
  <c r="X71" i="2"/>
  <c r="X63" i="2"/>
  <c r="X61" i="2"/>
  <c r="X55" i="2"/>
  <c r="X67" i="2"/>
  <c r="W56" i="2"/>
  <c r="W111" i="2"/>
  <c r="X119" i="2"/>
  <c r="X111" i="2"/>
  <c r="X106" i="2"/>
  <c r="I59" i="2"/>
  <c r="R120" i="2"/>
  <c r="W102" i="2" s="1"/>
  <c r="J102" i="2"/>
  <c r="O102" i="2" s="1"/>
  <c r="H71" i="2"/>
  <c r="H69" i="2"/>
  <c r="H67" i="2"/>
  <c r="H65" i="2"/>
  <c r="H63" i="2"/>
  <c r="H61" i="2"/>
  <c r="H59" i="2"/>
  <c r="H57" i="2"/>
  <c r="H55" i="2"/>
  <c r="M55" i="2" s="1"/>
  <c r="S24" i="2"/>
  <c r="X9" i="2" s="1"/>
  <c r="J5" i="2"/>
  <c r="J9" i="2"/>
  <c r="J13" i="2"/>
  <c r="J17" i="2"/>
  <c r="J6" i="2"/>
  <c r="J10" i="2"/>
  <c r="J14" i="2"/>
  <c r="J18" i="2"/>
  <c r="J7" i="2"/>
  <c r="J11" i="2"/>
  <c r="J15" i="2"/>
  <c r="J19" i="2"/>
  <c r="J8" i="2"/>
  <c r="J12" i="2"/>
  <c r="K23" i="2"/>
  <c r="W17" i="2"/>
  <c r="Y9" i="2"/>
  <c r="I146" i="1"/>
  <c r="W27" i="1"/>
  <c r="AP24" i="1"/>
  <c r="BR20" i="1"/>
  <c r="BS20" i="1" s="1"/>
  <c r="X115" i="2"/>
  <c r="X112" i="2"/>
  <c r="X102" i="2"/>
  <c r="I55" i="2"/>
  <c r="Y22" i="2"/>
  <c r="K14" i="2"/>
  <c r="J113" i="2"/>
  <c r="J112" i="2"/>
  <c r="J111" i="2"/>
  <c r="J110" i="2"/>
  <c r="J109" i="2"/>
  <c r="J108" i="2"/>
  <c r="J107" i="2"/>
  <c r="J106" i="2"/>
  <c r="J105" i="2"/>
  <c r="J104" i="2"/>
  <c r="J103" i="2"/>
  <c r="O103" i="2" s="1"/>
  <c r="I102" i="2"/>
  <c r="N102" i="2" s="1"/>
  <c r="G71" i="2"/>
  <c r="G69" i="2"/>
  <c r="G67" i="2"/>
  <c r="G65" i="2"/>
  <c r="G63" i="2"/>
  <c r="G61" i="2"/>
  <c r="G59" i="2"/>
  <c r="G57" i="2"/>
  <c r="G55" i="2"/>
  <c r="L55" i="2" s="1"/>
  <c r="W8" i="2"/>
  <c r="W12" i="2"/>
  <c r="W16" i="2"/>
  <c r="W20" i="2"/>
  <c r="W7" i="2"/>
  <c r="W11" i="2"/>
  <c r="I6" i="2"/>
  <c r="I10" i="2"/>
  <c r="I14" i="2"/>
  <c r="I18" i="2"/>
  <c r="I7" i="2"/>
  <c r="I11" i="2"/>
  <c r="I15" i="2"/>
  <c r="I8" i="2"/>
  <c r="J23" i="2"/>
  <c r="W22" i="2"/>
  <c r="K22" i="2"/>
  <c r="W21" i="2"/>
  <c r="J21" i="2"/>
  <c r="Y16" i="2"/>
  <c r="Z11" i="2"/>
  <c r="K8" i="2"/>
  <c r="K6" i="2"/>
  <c r="AL68" i="1"/>
  <c r="X117" i="2"/>
  <c r="X108" i="2"/>
  <c r="X105" i="2"/>
  <c r="I71" i="2"/>
  <c r="I67" i="2"/>
  <c r="I57" i="2"/>
  <c r="I118" i="2"/>
  <c r="I117" i="2"/>
  <c r="I116" i="2"/>
  <c r="I115" i="2"/>
  <c r="I114" i="2"/>
  <c r="I112" i="2"/>
  <c r="I111" i="2"/>
  <c r="I110" i="2"/>
  <c r="I109" i="2"/>
  <c r="I108" i="2"/>
  <c r="I107" i="2"/>
  <c r="I106" i="2"/>
  <c r="I105" i="2"/>
  <c r="I104" i="2"/>
  <c r="N104" i="2" s="1"/>
  <c r="I103" i="2"/>
  <c r="N103" i="2" s="1"/>
  <c r="H102" i="2"/>
  <c r="M102" i="2" s="1"/>
  <c r="M103" i="2" s="1"/>
  <c r="H6" i="2"/>
  <c r="H10" i="2"/>
  <c r="H14" i="2"/>
  <c r="H18" i="2"/>
  <c r="H7" i="2"/>
  <c r="H11" i="2"/>
  <c r="H15" i="2"/>
  <c r="H19" i="2"/>
  <c r="H8" i="2"/>
  <c r="H12" i="2"/>
  <c r="H16" i="2"/>
  <c r="H20" i="2"/>
  <c r="H5" i="2"/>
  <c r="H9" i="2"/>
  <c r="H13" i="2"/>
  <c r="I23" i="2"/>
  <c r="I21" i="2"/>
  <c r="K15" i="2"/>
  <c r="W14" i="2"/>
  <c r="Y13" i="2"/>
  <c r="Y12" i="2"/>
  <c r="W9" i="2"/>
  <c r="I152" i="1"/>
  <c r="AN105" i="1"/>
  <c r="BE105" i="1" s="1"/>
  <c r="AN109" i="1"/>
  <c r="AN111" i="1"/>
  <c r="AN114" i="1"/>
  <c r="AN118" i="1"/>
  <c r="AN122" i="1"/>
  <c r="AN112" i="1"/>
  <c r="AN115" i="1"/>
  <c r="AN119" i="1"/>
  <c r="AN123" i="1"/>
  <c r="AN113" i="1"/>
  <c r="AN116" i="1"/>
  <c r="AN120" i="1"/>
  <c r="AN106" i="1"/>
  <c r="BE106" i="1" s="1"/>
  <c r="AO109" i="1"/>
  <c r="X116" i="2"/>
  <c r="X113" i="2"/>
  <c r="X103" i="2"/>
  <c r="Y7" i="2"/>
  <c r="Y11" i="2"/>
  <c r="Y15" i="2"/>
  <c r="Y19" i="2"/>
  <c r="Y6" i="2"/>
  <c r="Y10" i="2"/>
  <c r="I145" i="1"/>
  <c r="I149" i="1"/>
  <c r="J116" i="2"/>
  <c r="I119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G102" i="2"/>
  <c r="L102" i="2" s="1"/>
  <c r="I72" i="2"/>
  <c r="I70" i="2"/>
  <c r="I68" i="2"/>
  <c r="I66" i="2"/>
  <c r="I64" i="2"/>
  <c r="I62" i="2"/>
  <c r="I60" i="2"/>
  <c r="I58" i="2"/>
  <c r="I56" i="2"/>
  <c r="I54" i="2"/>
  <c r="N54" i="2" s="1"/>
  <c r="G7" i="2"/>
  <c r="G11" i="2"/>
  <c r="G15" i="2"/>
  <c r="G19" i="2"/>
  <c r="G8" i="2"/>
  <c r="G12" i="2"/>
  <c r="G5" i="2"/>
  <c r="G9" i="2"/>
  <c r="H23" i="2"/>
  <c r="I22" i="2"/>
  <c r="Y21" i="2"/>
  <c r="H21" i="2"/>
  <c r="K19" i="2"/>
  <c r="I17" i="2"/>
  <c r="W15" i="2"/>
  <c r="W10" i="2"/>
  <c r="I9" i="2"/>
  <c r="Y5" i="2"/>
  <c r="I151" i="1"/>
  <c r="AN121" i="1"/>
  <c r="F125" i="1"/>
  <c r="AO114" i="1" s="1"/>
  <c r="AO112" i="1"/>
  <c r="AN107" i="1"/>
  <c r="X118" i="2"/>
  <c r="X109" i="2"/>
  <c r="I69" i="2"/>
  <c r="I63" i="2"/>
  <c r="Y20" i="2"/>
  <c r="J118" i="2"/>
  <c r="J114" i="2"/>
  <c r="G115" i="2"/>
  <c r="G114" i="2"/>
  <c r="G113" i="2"/>
  <c r="G112" i="2"/>
  <c r="G111" i="2"/>
  <c r="G110" i="2"/>
  <c r="G108" i="2"/>
  <c r="G107" i="2"/>
  <c r="G106" i="2"/>
  <c r="G104" i="2"/>
  <c r="G103" i="2"/>
  <c r="T73" i="2"/>
  <c r="Y71" i="2" s="1"/>
  <c r="H66" i="2"/>
  <c r="H64" i="2"/>
  <c r="H62" i="2"/>
  <c r="H60" i="2"/>
  <c r="H58" i="2"/>
  <c r="H56" i="2"/>
  <c r="M56" i="2" s="1"/>
  <c r="W54" i="2"/>
  <c r="H22" i="2"/>
  <c r="W19" i="2"/>
  <c r="I19" i="2"/>
  <c r="W18" i="2"/>
  <c r="H17" i="2"/>
  <c r="Z15" i="2"/>
  <c r="W13" i="2"/>
  <c r="I150" i="1"/>
  <c r="AO121" i="1"/>
  <c r="AO118" i="1"/>
  <c r="AN110" i="1"/>
  <c r="U74" i="1"/>
  <c r="X114" i="2"/>
  <c r="X110" i="2"/>
  <c r="AO122" i="1"/>
  <c r="AO108" i="1"/>
  <c r="J117" i="2"/>
  <c r="J115" i="2"/>
  <c r="G117" i="2"/>
  <c r="G116" i="2"/>
  <c r="G109" i="2"/>
  <c r="G105" i="2"/>
  <c r="Z103" i="2"/>
  <c r="G72" i="2"/>
  <c r="G70" i="2"/>
  <c r="G68" i="2"/>
  <c r="G66" i="2"/>
  <c r="G64" i="2"/>
  <c r="G62" i="2"/>
  <c r="G60" i="2"/>
  <c r="G58" i="2"/>
  <c r="G56" i="2"/>
  <c r="G22" i="2"/>
  <c r="G17" i="2"/>
  <c r="K16" i="2"/>
  <c r="Y14" i="2"/>
  <c r="G10" i="2"/>
  <c r="Z8" i="2"/>
  <c r="W5" i="2"/>
  <c r="AO110" i="1"/>
  <c r="X107" i="2"/>
  <c r="I65" i="2"/>
  <c r="K5" i="2"/>
  <c r="K9" i="2"/>
  <c r="K13" i="2"/>
  <c r="K17" i="2"/>
  <c r="K21" i="2"/>
  <c r="K7" i="2"/>
  <c r="K11" i="2"/>
  <c r="G119" i="2"/>
  <c r="T120" i="2"/>
  <c r="Y119" i="2" s="1"/>
  <c r="U24" i="2"/>
  <c r="Z18" i="2" s="1"/>
  <c r="Y17" i="2"/>
  <c r="J16" i="2"/>
  <c r="G14" i="2"/>
  <c r="I13" i="2"/>
  <c r="I12" i="2"/>
  <c r="K10" i="2"/>
  <c r="Y8" i="2"/>
  <c r="W6" i="2"/>
  <c r="I5" i="2"/>
  <c r="I148" i="1"/>
  <c r="AO119" i="1"/>
  <c r="AN108" i="1"/>
  <c r="BF56" i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I147" i="1"/>
  <c r="AM121" i="1"/>
  <c r="AM117" i="1"/>
  <c r="AK111" i="1"/>
  <c r="AM110" i="1"/>
  <c r="AL109" i="1"/>
  <c r="AM108" i="1"/>
  <c r="AM107" i="1"/>
  <c r="AN70" i="1"/>
  <c r="AN60" i="1"/>
  <c r="AX21" i="1"/>
  <c r="AS18" i="1"/>
  <c r="Z27" i="1"/>
  <c r="R27" i="1"/>
  <c r="AK21" i="1" s="1"/>
  <c r="AL106" i="1"/>
  <c r="BC106" i="1" s="1"/>
  <c r="AL110" i="1"/>
  <c r="AL121" i="1"/>
  <c r="AL117" i="1"/>
  <c r="AK110" i="1"/>
  <c r="AK109" i="1"/>
  <c r="AL108" i="1"/>
  <c r="AL107" i="1"/>
  <c r="AM106" i="1"/>
  <c r="BD106" i="1" s="1"/>
  <c r="AK105" i="1"/>
  <c r="BB105" i="1" s="1"/>
  <c r="AN59" i="1"/>
  <c r="AM56" i="1"/>
  <c r="BF55" i="1"/>
  <c r="N21" i="1"/>
  <c r="AD21" i="1" s="1"/>
  <c r="AC21" i="1"/>
  <c r="M27" i="1"/>
  <c r="AK121" i="1"/>
  <c r="AM120" i="1"/>
  <c r="AK117" i="1"/>
  <c r="AM116" i="1"/>
  <c r="AM113" i="1"/>
  <c r="AK108" i="1"/>
  <c r="AK107" i="1"/>
  <c r="AK106" i="1"/>
  <c r="BB106" i="1" s="1"/>
  <c r="AO105" i="1"/>
  <c r="BT66" i="1"/>
  <c r="T74" i="1"/>
  <c r="AM69" i="1" s="1"/>
  <c r="AX24" i="1"/>
  <c r="AO15" i="1"/>
  <c r="AL120" i="1"/>
  <c r="AL116" i="1"/>
  <c r="AL113" i="1"/>
  <c r="AN55" i="1"/>
  <c r="AX15" i="1"/>
  <c r="AX19" i="1"/>
  <c r="AT8" i="1"/>
  <c r="AT10" i="1"/>
  <c r="AT17" i="1"/>
  <c r="AT15" i="1"/>
  <c r="AT21" i="1"/>
  <c r="AT24" i="1"/>
  <c r="AM123" i="1"/>
  <c r="AM119" i="1"/>
  <c r="AK116" i="1"/>
  <c r="AM115" i="1"/>
  <c r="AK113" i="1"/>
  <c r="AM112" i="1"/>
  <c r="BT67" i="1"/>
  <c r="AM67" i="1"/>
  <c r="AK66" i="1"/>
  <c r="AN58" i="1"/>
  <c r="AS23" i="1"/>
  <c r="AS22" i="1"/>
  <c r="AL123" i="1"/>
  <c r="AL119" i="1"/>
  <c r="AL115" i="1"/>
  <c r="AL112" i="1"/>
  <c r="R74" i="1"/>
  <c r="AK65" i="1" s="1"/>
  <c r="BT72" i="1"/>
  <c r="AN68" i="1"/>
  <c r="AM58" i="1"/>
  <c r="AL55" i="1"/>
  <c r="S74" i="1"/>
  <c r="BT24" i="1"/>
  <c r="BW24" i="1"/>
  <c r="AX22" i="1"/>
  <c r="AK123" i="1"/>
  <c r="AM122" i="1"/>
  <c r="AK119" i="1"/>
  <c r="AM118" i="1"/>
  <c r="AK115" i="1"/>
  <c r="AM114" i="1"/>
  <c r="F74" i="1"/>
  <c r="BW69" i="1"/>
  <c r="AM68" i="1"/>
  <c r="AK67" i="1"/>
  <c r="BT59" i="1"/>
  <c r="BW59" i="1"/>
  <c r="AK55" i="1"/>
  <c r="AO9" i="1"/>
  <c r="AO17" i="1"/>
  <c r="AO10" i="1"/>
  <c r="AO21" i="1"/>
  <c r="AO14" i="1"/>
  <c r="AO12" i="1"/>
  <c r="AO11" i="1"/>
  <c r="AO8" i="1"/>
  <c r="AO13" i="1"/>
  <c r="AO24" i="1"/>
  <c r="AO23" i="1"/>
  <c r="AC24" i="1"/>
  <c r="N24" i="1"/>
  <c r="AD24" i="1" s="1"/>
  <c r="N22" i="1"/>
  <c r="AD22" i="1" s="1"/>
  <c r="AC22" i="1"/>
  <c r="AT19" i="1"/>
  <c r="AR19" i="1"/>
  <c r="AR15" i="1"/>
  <c r="AS24" i="1"/>
  <c r="AQ23" i="1"/>
  <c r="AR21" i="1"/>
  <c r="AN20" i="1"/>
  <c r="BT19" i="1"/>
  <c r="BW19" i="1"/>
  <c r="DJ18" i="1"/>
  <c r="AC15" i="1"/>
  <c r="N15" i="1"/>
  <c r="AT14" i="1"/>
  <c r="AL14" i="1"/>
  <c r="AQ8" i="1"/>
  <c r="AQ22" i="1"/>
  <c r="AQ9" i="1"/>
  <c r="AQ17" i="1"/>
  <c r="AQ10" i="1"/>
  <c r="AQ13" i="1"/>
  <c r="AQ21" i="1"/>
  <c r="AQ12" i="1"/>
  <c r="AQ7" i="1"/>
  <c r="AQ11" i="1"/>
  <c r="AQ19" i="1"/>
  <c r="AR24" i="1"/>
  <c r="AL22" i="1"/>
  <c r="AS21" i="1"/>
  <c r="AL20" i="1"/>
  <c r="AR17" i="1"/>
  <c r="AX17" i="1"/>
  <c r="AX11" i="1"/>
  <c r="AG11" i="1"/>
  <c r="AQ24" i="1"/>
  <c r="AX23" i="1"/>
  <c r="AC23" i="1"/>
  <c r="AN23" i="1"/>
  <c r="AL17" i="1"/>
  <c r="AF17" i="1"/>
  <c r="AT16" i="1"/>
  <c r="AQ14" i="1"/>
  <c r="AN16" i="1"/>
  <c r="AN15" i="1"/>
  <c r="AN19" i="1"/>
  <c r="AN18" i="1"/>
  <c r="AN17" i="1"/>
  <c r="AF20" i="1"/>
  <c r="AR18" i="1"/>
  <c r="AG17" i="1"/>
  <c r="AR16" i="1"/>
  <c r="AX16" i="1"/>
  <c r="AG16" i="1"/>
  <c r="AL8" i="1"/>
  <c r="AL10" i="1"/>
  <c r="AL15" i="1"/>
  <c r="AL19" i="1"/>
  <c r="AL18" i="1"/>
  <c r="AL16" i="1"/>
  <c r="AN24" i="1"/>
  <c r="DJ4" i="1"/>
  <c r="DJ7" i="1"/>
  <c r="DJ9" i="1"/>
  <c r="DJ5" i="1"/>
  <c r="DJ11" i="1"/>
  <c r="DJ6" i="1"/>
  <c r="DJ8" i="1"/>
  <c r="DJ10" i="1"/>
  <c r="DJ12" i="1"/>
  <c r="DJ15" i="1"/>
  <c r="DJ20" i="1"/>
  <c r="DJ14" i="1"/>
  <c r="DJ19" i="1"/>
  <c r="DJ16" i="1"/>
  <c r="DJ21" i="1"/>
  <c r="AC19" i="1"/>
  <c r="N19" i="1"/>
  <c r="AD19" i="1" s="1"/>
  <c r="AQ18" i="1"/>
  <c r="BW20" i="1"/>
  <c r="AX18" i="1"/>
  <c r="T27" i="1"/>
  <c r="BW16" i="1"/>
  <c r="AQ16" i="1"/>
  <c r="AN14" i="1"/>
  <c r="DJ13" i="1"/>
  <c r="BW54" i="1"/>
  <c r="AL24" i="1"/>
  <c r="AR23" i="1"/>
  <c r="AN22" i="1"/>
  <c r="BW21" i="1"/>
  <c r="AT20" i="1"/>
  <c r="AX12" i="1"/>
  <c r="AG12" i="1"/>
  <c r="AO18" i="1"/>
  <c r="AS15" i="1"/>
  <c r="AK15" i="1"/>
  <c r="AP14" i="1"/>
  <c r="AN12" i="1"/>
  <c r="AT11" i="1"/>
  <c r="AL11" i="1"/>
  <c r="AR8" i="1"/>
  <c r="BW14" i="1"/>
  <c r="AX14" i="1"/>
  <c r="AX13" i="1"/>
  <c r="AN13" i="1"/>
  <c r="AX10" i="1"/>
  <c r="AN10" i="1"/>
  <c r="AR7" i="1"/>
  <c r="AX7" i="1"/>
  <c r="AT12" i="1"/>
  <c r="AL12" i="1"/>
  <c r="AR11" i="1"/>
  <c r="AN9" i="1"/>
  <c r="AP8" i="1"/>
  <c r="AF7" i="1"/>
  <c r="AO20" i="1"/>
  <c r="AS17" i="1"/>
  <c r="AT13" i="1"/>
  <c r="AL13" i="1"/>
  <c r="BW12" i="1"/>
  <c r="AR12" i="1"/>
  <c r="AP11" i="1"/>
  <c r="AT9" i="1"/>
  <c r="AL9" i="1"/>
  <c r="AX8" i="1"/>
  <c r="AN8" i="1"/>
  <c r="AO7" i="1"/>
  <c r="AO16" i="1"/>
  <c r="AR13" i="1"/>
  <c r="AR10" i="1"/>
  <c r="AC8" i="1"/>
  <c r="BW7" i="1"/>
  <c r="AN7" i="1"/>
  <c r="AS19" i="1"/>
  <c r="AK19" i="1"/>
  <c r="AB15" i="1"/>
  <c r="AR14" i="1"/>
  <c r="AP12" i="1"/>
  <c r="AN11" i="1"/>
  <c r="AR9" i="1"/>
  <c r="AX9" i="1"/>
  <c r="AP22" i="1"/>
  <c r="AF18" i="1"/>
  <c r="AP13" i="1"/>
  <c r="AC11" i="1"/>
  <c r="AP10" i="1"/>
  <c r="AF9" i="1"/>
  <c r="AT7" i="1"/>
  <c r="AL7" i="1"/>
  <c r="AM16" i="1" l="1"/>
  <c r="AM21" i="1"/>
  <c r="AM9" i="1"/>
  <c r="AM10" i="1"/>
  <c r="AM15" i="1"/>
  <c r="AM13" i="1"/>
  <c r="AM20" i="1"/>
  <c r="AM12" i="1"/>
  <c r="AM11" i="1"/>
  <c r="AM7" i="1"/>
  <c r="AM8" i="1"/>
  <c r="AM17" i="1"/>
  <c r="AM24" i="1"/>
  <c r="AM22" i="1"/>
  <c r="AM14" i="1"/>
  <c r="AM23" i="1"/>
  <c r="AM19" i="1"/>
  <c r="AM18" i="1"/>
  <c r="BK7" i="1"/>
  <c r="AT27" i="1"/>
  <c r="BR14" i="1"/>
  <c r="BS14" i="1" s="1"/>
  <c r="BR114" i="1"/>
  <c r="BS114" i="1" s="1"/>
  <c r="AF19" i="1"/>
  <c r="BR12" i="1"/>
  <c r="BS12" i="1" s="1"/>
  <c r="AV23" i="1"/>
  <c r="AC27" i="1"/>
  <c r="BO8" i="1"/>
  <c r="BO9" i="1" s="1"/>
  <c r="BO10" i="1" s="1"/>
  <c r="BO11" i="1" s="1"/>
  <c r="BO12" i="1" s="1"/>
  <c r="BO13" i="1" s="1"/>
  <c r="BO14" i="1" s="1"/>
  <c r="BO15" i="1" s="1"/>
  <c r="BO16" i="1" s="1"/>
  <c r="BO17" i="1" s="1"/>
  <c r="BO18" i="1" s="1"/>
  <c r="BO19" i="1" s="1"/>
  <c r="BO20" i="1" s="1"/>
  <c r="BO21" i="1" s="1"/>
  <c r="BO22" i="1" s="1"/>
  <c r="BO23" i="1" s="1"/>
  <c r="BO24" i="1" s="1"/>
  <c r="BR8" i="1"/>
  <c r="BS8" i="1" s="1"/>
  <c r="AK17" i="1"/>
  <c r="BR10" i="1"/>
  <c r="BS10" i="1" s="1"/>
  <c r="AL59" i="1"/>
  <c r="AL69" i="1"/>
  <c r="AL72" i="1"/>
  <c r="AL62" i="1"/>
  <c r="AL64" i="1"/>
  <c r="AL61" i="1"/>
  <c r="AL63" i="1"/>
  <c r="AL56" i="1"/>
  <c r="AL60" i="1"/>
  <c r="AL57" i="1"/>
  <c r="AL65" i="1"/>
  <c r="AL70" i="1"/>
  <c r="AL71" i="1"/>
  <c r="AL54" i="1"/>
  <c r="BC54" i="1" s="1"/>
  <c r="AL66" i="1"/>
  <c r="AF21" i="1"/>
  <c r="X12" i="2"/>
  <c r="Y106" i="2"/>
  <c r="Y118" i="2"/>
  <c r="Y110" i="2"/>
  <c r="BC55" i="1"/>
  <c r="AM60" i="1"/>
  <c r="AM70" i="1"/>
  <c r="AM72" i="1"/>
  <c r="AM55" i="1"/>
  <c r="AM54" i="1"/>
  <c r="BD54" i="1" s="1"/>
  <c r="AM57" i="1"/>
  <c r="AM65" i="1"/>
  <c r="AM62" i="1"/>
  <c r="AM64" i="1"/>
  <c r="AM61" i="1"/>
  <c r="AM63" i="1"/>
  <c r="AM71" i="1"/>
  <c r="AM66" i="1"/>
  <c r="BR70" i="1"/>
  <c r="BS70" i="1" s="1"/>
  <c r="BR119" i="1"/>
  <c r="BS119" i="1" s="1"/>
  <c r="L56" i="2"/>
  <c r="BR108" i="1"/>
  <c r="BS108" i="1" s="1"/>
  <c r="X13" i="2"/>
  <c r="Y114" i="2"/>
  <c r="Y116" i="2"/>
  <c r="Y111" i="2"/>
  <c r="Y59" i="2"/>
  <c r="AK8" i="1"/>
  <c r="AK10" i="1"/>
  <c r="AK9" i="1"/>
  <c r="AK20" i="1"/>
  <c r="AK13" i="1"/>
  <c r="AK14" i="1"/>
  <c r="AK12" i="1"/>
  <c r="AK11" i="1"/>
  <c r="AK7" i="1"/>
  <c r="AK16" i="1"/>
  <c r="AK23" i="1"/>
  <c r="BC7" i="1"/>
  <c r="BC8" i="1" s="1"/>
  <c r="BC9" i="1" s="1"/>
  <c r="BC10" i="1" s="1"/>
  <c r="BC11" i="1" s="1"/>
  <c r="BC12" i="1" s="1"/>
  <c r="BC13" i="1" s="1"/>
  <c r="BC14" i="1" s="1"/>
  <c r="BC15" i="1" s="1"/>
  <c r="BC16" i="1" s="1"/>
  <c r="BC17" i="1" s="1"/>
  <c r="BC18" i="1" s="1"/>
  <c r="BC19" i="1" s="1"/>
  <c r="BC20" i="1" s="1"/>
  <c r="BC21" i="1" s="1"/>
  <c r="BC22" i="1" s="1"/>
  <c r="BC23" i="1" s="1"/>
  <c r="BC24" i="1" s="1"/>
  <c r="AL27" i="1"/>
  <c r="BK9" i="1"/>
  <c r="BK10" i="1" s="1"/>
  <c r="BK11" i="1" s="1"/>
  <c r="BK12" i="1" s="1"/>
  <c r="BK13" i="1" s="1"/>
  <c r="BK14" i="1" s="1"/>
  <c r="BK15" i="1" s="1"/>
  <c r="BK16" i="1" s="1"/>
  <c r="BK17" i="1" s="1"/>
  <c r="BK18" i="1" s="1"/>
  <c r="BK19" i="1" s="1"/>
  <c r="BK20" i="1" s="1"/>
  <c r="BK21" i="1" s="1"/>
  <c r="BK22" i="1" s="1"/>
  <c r="BK23" i="1" s="1"/>
  <c r="BK24" i="1" s="1"/>
  <c r="BR13" i="1"/>
  <c r="BS13" i="1" s="1"/>
  <c r="AG20" i="1"/>
  <c r="BR17" i="1"/>
  <c r="BS17" i="1" s="1"/>
  <c r="AD15" i="1"/>
  <c r="N27" i="1"/>
  <c r="BK8" i="1"/>
  <c r="AM59" i="1"/>
  <c r="BC107" i="1"/>
  <c r="AK18" i="1"/>
  <c r="BD107" i="1"/>
  <c r="BD108" i="1" s="1"/>
  <c r="BD109" i="1" s="1"/>
  <c r="BD110" i="1" s="1"/>
  <c r="BD111" i="1" s="1"/>
  <c r="BD112" i="1" s="1"/>
  <c r="BD113" i="1" s="1"/>
  <c r="BD114" i="1" s="1"/>
  <c r="BD115" i="1" s="1"/>
  <c r="BD116" i="1" s="1"/>
  <c r="BD117" i="1" s="1"/>
  <c r="BD118" i="1" s="1"/>
  <c r="BD119" i="1" s="1"/>
  <c r="BD120" i="1" s="1"/>
  <c r="BD121" i="1" s="1"/>
  <c r="BD122" i="1" s="1"/>
  <c r="BR122" i="1"/>
  <c r="BS122" i="1" s="1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G24" i="2"/>
  <c r="N55" i="2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AP7" i="1"/>
  <c r="AP9" i="1"/>
  <c r="AP17" i="1"/>
  <c r="AP16" i="1"/>
  <c r="AP15" i="1"/>
  <c r="AP20" i="1"/>
  <c r="AP18" i="1"/>
  <c r="AP19" i="1"/>
  <c r="AP21" i="1"/>
  <c r="AP23" i="1"/>
  <c r="O7" i="2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5" i="2"/>
  <c r="J24" i="2"/>
  <c r="Z20" i="2"/>
  <c r="Y105" i="2"/>
  <c r="Y67" i="2"/>
  <c r="BF8" i="1"/>
  <c r="BF9" i="1" s="1"/>
  <c r="BF10" i="1" s="1"/>
  <c r="BF11" i="1" s="1"/>
  <c r="BF12" i="1" s="1"/>
  <c r="BF13" i="1" s="1"/>
  <c r="BF14" i="1" s="1"/>
  <c r="BF15" i="1" s="1"/>
  <c r="BF16" i="1" s="1"/>
  <c r="BF17" i="1" s="1"/>
  <c r="BF18" i="1" s="1"/>
  <c r="BF19" i="1" s="1"/>
  <c r="BF20" i="1" s="1"/>
  <c r="BF21" i="1" s="1"/>
  <c r="BF22" i="1" s="1"/>
  <c r="BF23" i="1" s="1"/>
  <c r="BF24" i="1" s="1"/>
  <c r="X6" i="2"/>
  <c r="X10" i="2"/>
  <c r="X14" i="2"/>
  <c r="X7" i="2"/>
  <c r="X15" i="2"/>
  <c r="X11" i="2"/>
  <c r="X18" i="2"/>
  <c r="BR9" i="1"/>
  <c r="BS9" i="1" s="1"/>
  <c r="AG7" i="1"/>
  <c r="BR18" i="1"/>
  <c r="BS18" i="1" s="1"/>
  <c r="AV19" i="1"/>
  <c r="BR23" i="1"/>
  <c r="BS23" i="1" s="1"/>
  <c r="AK24" i="1"/>
  <c r="AF22" i="1"/>
  <c r="AL58" i="1"/>
  <c r="AL67" i="1"/>
  <c r="AK22" i="1"/>
  <c r="BR19" i="1"/>
  <c r="BS19" i="1" s="1"/>
  <c r="BF105" i="1"/>
  <c r="BR105" i="1"/>
  <c r="BS105" i="1" s="1"/>
  <c r="AK57" i="1"/>
  <c r="BB109" i="1"/>
  <c r="BB110" i="1" s="1"/>
  <c r="BB111" i="1" s="1"/>
  <c r="BB112" i="1" s="1"/>
  <c r="BB113" i="1" s="1"/>
  <c r="BB114" i="1" s="1"/>
  <c r="BB115" i="1" s="1"/>
  <c r="BB116" i="1" s="1"/>
  <c r="BB117" i="1" s="1"/>
  <c r="BB118" i="1" s="1"/>
  <c r="BB119" i="1" s="1"/>
  <c r="BB120" i="1" s="1"/>
  <c r="BB121" i="1" s="1"/>
  <c r="BB122" i="1" s="1"/>
  <c r="AS8" i="1"/>
  <c r="AS10" i="1"/>
  <c r="AS7" i="1"/>
  <c r="AS11" i="1"/>
  <c r="AS9" i="1"/>
  <c r="AS14" i="1"/>
  <c r="AS12" i="1"/>
  <c r="AS16" i="1"/>
  <c r="AS20" i="1"/>
  <c r="AS13" i="1"/>
  <c r="BR60" i="1"/>
  <c r="BS60" i="1" s="1"/>
  <c r="BR121" i="1"/>
  <c r="BS121" i="1" s="1"/>
  <c r="BE107" i="1"/>
  <c r="M104" i="2"/>
  <c r="M5" i="2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H24" i="2"/>
  <c r="N105" i="2"/>
  <c r="Z12" i="2"/>
  <c r="N6" i="2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L57" i="2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AO111" i="1"/>
  <c r="X8" i="2"/>
  <c r="X23" i="2"/>
  <c r="X19" i="2"/>
  <c r="W104" i="2"/>
  <c r="Y103" i="2"/>
  <c r="Y102" i="2"/>
  <c r="W117" i="2"/>
  <c r="AV22" i="1"/>
  <c r="BR118" i="1"/>
  <c r="BS118" i="1" s="1"/>
  <c r="X17" i="2"/>
  <c r="AG9" i="1"/>
  <c r="BO7" i="1"/>
  <c r="BR7" i="1"/>
  <c r="AX27" i="1"/>
  <c r="AG18" i="1"/>
  <c r="BR68" i="1"/>
  <c r="BS68" i="1" s="1"/>
  <c r="BR15" i="1"/>
  <c r="BS15" i="1" s="1"/>
  <c r="BR24" i="1"/>
  <c r="BS24" i="1" s="1"/>
  <c r="BR59" i="1"/>
  <c r="BS59" i="1" s="1"/>
  <c r="N5" i="2"/>
  <c r="I24" i="2"/>
  <c r="BR110" i="1"/>
  <c r="BS110" i="1" s="1"/>
  <c r="AK54" i="1"/>
  <c r="BB54" i="1" s="1"/>
  <c r="BR112" i="1"/>
  <c r="BS112" i="1" s="1"/>
  <c r="M105" i="2"/>
  <c r="BR109" i="1"/>
  <c r="BS109" i="1" s="1"/>
  <c r="N106" i="2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AO117" i="1"/>
  <c r="M57" i="2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Y55" i="2"/>
  <c r="Y107" i="2"/>
  <c r="X22" i="2"/>
  <c r="Y113" i="2"/>
  <c r="W109" i="2"/>
  <c r="BB55" i="1"/>
  <c r="BC108" i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I8" i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F7" i="1"/>
  <c r="AO27" i="1"/>
  <c r="BI7" i="1"/>
  <c r="AR27" i="1"/>
  <c r="BR16" i="1"/>
  <c r="BS16" i="1" s="1"/>
  <c r="BH7" i="1"/>
  <c r="BH8" i="1" s="1"/>
  <c r="BH9" i="1" s="1"/>
  <c r="BH10" i="1" s="1"/>
  <c r="BH11" i="1" s="1"/>
  <c r="BH12" i="1" s="1"/>
  <c r="BH13" i="1" s="1"/>
  <c r="BH14" i="1" s="1"/>
  <c r="BH15" i="1" s="1"/>
  <c r="BH16" i="1" s="1"/>
  <c r="BH17" i="1" s="1"/>
  <c r="BH18" i="1" s="1"/>
  <c r="BH19" i="1" s="1"/>
  <c r="BH20" i="1" s="1"/>
  <c r="BH21" i="1" s="1"/>
  <c r="BH22" i="1" s="1"/>
  <c r="BH23" i="1" s="1"/>
  <c r="BH24" i="1" s="1"/>
  <c r="AQ27" i="1"/>
  <c r="AF24" i="1"/>
  <c r="BR55" i="1"/>
  <c r="BS55" i="1" s="1"/>
  <c r="BB107" i="1"/>
  <c r="BE108" i="1"/>
  <c r="BE109" i="1" s="1"/>
  <c r="BE110" i="1" s="1"/>
  <c r="BE111" i="1" s="1"/>
  <c r="BE112" i="1" s="1"/>
  <c r="BE113" i="1" s="1"/>
  <c r="BE114" i="1" s="1"/>
  <c r="BE115" i="1" s="1"/>
  <c r="BE116" i="1" s="1"/>
  <c r="BE117" i="1" s="1"/>
  <c r="BE118" i="1" s="1"/>
  <c r="BE119" i="1" s="1"/>
  <c r="BE120" i="1" s="1"/>
  <c r="BE121" i="1" s="1"/>
  <c r="BE122" i="1" s="1"/>
  <c r="Z5" i="2"/>
  <c r="Z9" i="2"/>
  <c r="Z10" i="2"/>
  <c r="Z16" i="2"/>
  <c r="Z14" i="2"/>
  <c r="Z23" i="2"/>
  <c r="Z17" i="2"/>
  <c r="Z6" i="2"/>
  <c r="Z21" i="2"/>
  <c r="Z13" i="2"/>
  <c r="AN61" i="1"/>
  <c r="AN63" i="1"/>
  <c r="AN71" i="1"/>
  <c r="AN56" i="1"/>
  <c r="AN72" i="1"/>
  <c r="BR72" i="1" s="1"/>
  <c r="BS72" i="1" s="1"/>
  <c r="AN54" i="1"/>
  <c r="AN57" i="1"/>
  <c r="AN62" i="1"/>
  <c r="AN64" i="1"/>
  <c r="AN65" i="1"/>
  <c r="AN67" i="1"/>
  <c r="AN66" i="1"/>
  <c r="X5" i="2"/>
  <c r="Y54" i="2"/>
  <c r="Y56" i="2"/>
  <c r="Y58" i="2"/>
  <c r="Y60" i="2"/>
  <c r="Y62" i="2"/>
  <c r="Y64" i="2"/>
  <c r="Y66" i="2"/>
  <c r="Y68" i="2"/>
  <c r="Y70" i="2"/>
  <c r="Y72" i="2"/>
  <c r="AO107" i="1"/>
  <c r="AO113" i="1"/>
  <c r="AO116" i="1"/>
  <c r="AO120" i="1"/>
  <c r="AO106" i="1"/>
  <c r="M106" i="2"/>
  <c r="X16" i="2"/>
  <c r="O104" i="2"/>
  <c r="O6" i="2"/>
  <c r="Y63" i="2"/>
  <c r="Y117" i="2"/>
  <c r="W108" i="2"/>
  <c r="Y104" i="2"/>
  <c r="Y61" i="2"/>
  <c r="X21" i="2"/>
  <c r="Y109" i="2"/>
  <c r="Y57" i="2"/>
  <c r="BR22" i="1"/>
  <c r="BS22" i="1" s="1"/>
  <c r="BE7" i="1"/>
  <c r="BE8" i="1" s="1"/>
  <c r="BE9" i="1" s="1"/>
  <c r="BE10" i="1" s="1"/>
  <c r="BE11" i="1" s="1"/>
  <c r="BE12" i="1" s="1"/>
  <c r="BE13" i="1" s="1"/>
  <c r="BE14" i="1" s="1"/>
  <c r="BE15" i="1" s="1"/>
  <c r="BE16" i="1" s="1"/>
  <c r="BE17" i="1" s="1"/>
  <c r="BE18" i="1" s="1"/>
  <c r="BE19" i="1" s="1"/>
  <c r="BE20" i="1" s="1"/>
  <c r="BE21" i="1" s="1"/>
  <c r="BE22" i="1" s="1"/>
  <c r="BE23" i="1" s="1"/>
  <c r="BE24" i="1" s="1"/>
  <c r="AN27" i="1"/>
  <c r="AV11" i="1"/>
  <c r="BW26" i="1"/>
  <c r="BX54" i="1" s="1"/>
  <c r="AB27" i="1"/>
  <c r="AU15" i="1" s="1"/>
  <c r="BR11" i="1"/>
  <c r="BS11" i="1" s="1"/>
  <c r="AV24" i="1"/>
  <c r="AK58" i="1"/>
  <c r="AK68" i="1"/>
  <c r="AK61" i="1"/>
  <c r="AK63" i="1"/>
  <c r="AK56" i="1"/>
  <c r="BB56" i="1" s="1"/>
  <c r="AK60" i="1"/>
  <c r="AK59" i="1"/>
  <c r="AK70" i="1"/>
  <c r="AK69" i="1"/>
  <c r="AK71" i="1"/>
  <c r="AK62" i="1"/>
  <c r="AK64" i="1"/>
  <c r="AK72" i="1"/>
  <c r="BR58" i="1"/>
  <c r="BS58" i="1" s="1"/>
  <c r="BB108" i="1"/>
  <c r="AV21" i="1"/>
  <c r="BR21" i="1"/>
  <c r="BS21" i="1" s="1"/>
  <c r="K24" i="2"/>
  <c r="Z19" i="2"/>
  <c r="AN69" i="1"/>
  <c r="Z7" i="2"/>
  <c r="L103" i="2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M107" i="2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AO115" i="1"/>
  <c r="X20" i="2"/>
  <c r="AO123" i="1"/>
  <c r="BR123" i="1" s="1"/>
  <c r="BS123" i="1" s="1"/>
  <c r="O105" i="2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Y69" i="2"/>
  <c r="W110" i="2"/>
  <c r="Y112" i="2"/>
  <c r="Y108" i="2"/>
  <c r="Z22" i="2"/>
  <c r="Y65" i="2"/>
  <c r="BR113" i="1" l="1"/>
  <c r="BS113" i="1" s="1"/>
  <c r="BX20" i="1"/>
  <c r="BR107" i="1"/>
  <c r="BS107" i="1" s="1"/>
  <c r="BR71" i="1"/>
  <c r="BS71" i="1" s="1"/>
  <c r="BB57" i="1"/>
  <c r="BD55" i="1"/>
  <c r="BD56" i="1" s="1"/>
  <c r="BC56" i="1"/>
  <c r="AV18" i="1"/>
  <c r="AV13" i="1"/>
  <c r="AV9" i="1"/>
  <c r="AV7" i="1"/>
  <c r="AV20" i="1"/>
  <c r="AV16" i="1"/>
  <c r="AV17" i="1"/>
  <c r="AV12" i="1"/>
  <c r="AV10" i="1"/>
  <c r="AV14" i="1"/>
  <c r="BR67" i="1"/>
  <c r="BS67" i="1" s="1"/>
  <c r="BR65" i="1"/>
  <c r="BS65" i="1" s="1"/>
  <c r="BR63" i="1"/>
  <c r="BS63" i="1" s="1"/>
  <c r="BX59" i="1"/>
  <c r="BS7" i="1"/>
  <c r="BR26" i="1"/>
  <c r="BX14" i="1"/>
  <c r="BG7" i="1"/>
  <c r="BG8" i="1" s="1"/>
  <c r="BG9" i="1" s="1"/>
  <c r="BG10" i="1" s="1"/>
  <c r="BG11" i="1" s="1"/>
  <c r="BG12" i="1" s="1"/>
  <c r="BG13" i="1" s="1"/>
  <c r="BG14" i="1" s="1"/>
  <c r="BG15" i="1" s="1"/>
  <c r="BG16" i="1" s="1"/>
  <c r="BG17" i="1" s="1"/>
  <c r="BG18" i="1" s="1"/>
  <c r="BG19" i="1" s="1"/>
  <c r="BG20" i="1" s="1"/>
  <c r="BG21" i="1" s="1"/>
  <c r="BG22" i="1" s="1"/>
  <c r="BG23" i="1" s="1"/>
  <c r="BG24" i="1" s="1"/>
  <c r="AP27" i="1"/>
  <c r="AV8" i="1"/>
  <c r="BD10" i="1"/>
  <c r="BD11" i="1" s="1"/>
  <c r="BD12" i="1" s="1"/>
  <c r="BD13" i="1" s="1"/>
  <c r="BD14" i="1" s="1"/>
  <c r="BD15" i="1" s="1"/>
  <c r="BD16" i="1" s="1"/>
  <c r="BD17" i="1" s="1"/>
  <c r="BD18" i="1" s="1"/>
  <c r="BD19" i="1" s="1"/>
  <c r="BD20" i="1" s="1"/>
  <c r="BD21" i="1" s="1"/>
  <c r="BD22" i="1" s="1"/>
  <c r="BD23" i="1" s="1"/>
  <c r="BD24" i="1" s="1"/>
  <c r="BR69" i="1"/>
  <c r="BS69" i="1" s="1"/>
  <c r="AU12" i="1"/>
  <c r="AU7" i="1"/>
  <c r="AU9" i="1"/>
  <c r="AU10" i="1"/>
  <c r="AU13" i="1"/>
  <c r="AU20" i="1"/>
  <c r="AU22" i="1"/>
  <c r="AU17" i="1"/>
  <c r="AU16" i="1"/>
  <c r="AU11" i="1"/>
  <c r="AU14" i="1"/>
  <c r="AU18" i="1"/>
  <c r="AU23" i="1"/>
  <c r="AU21" i="1"/>
  <c r="AU24" i="1"/>
  <c r="AU19" i="1"/>
  <c r="AU8" i="1"/>
  <c r="BR64" i="1"/>
  <c r="BS64" i="1" s="1"/>
  <c r="BR61" i="1"/>
  <c r="BS61" i="1" s="1"/>
  <c r="BJ9" i="1"/>
  <c r="BB9" i="1"/>
  <c r="BD8" i="1"/>
  <c r="BD9" i="1"/>
  <c r="BX60" i="1"/>
  <c r="BX62" i="1"/>
  <c r="BX70" i="1"/>
  <c r="BX64" i="1"/>
  <c r="BX71" i="1"/>
  <c r="BX22" i="1"/>
  <c r="BX123" i="1"/>
  <c r="BX116" i="1"/>
  <c r="BX66" i="1"/>
  <c r="BX57" i="1"/>
  <c r="BX11" i="1"/>
  <c r="BX56" i="1"/>
  <c r="BX23" i="1"/>
  <c r="BX118" i="1"/>
  <c r="BX121" i="1"/>
  <c r="BX110" i="1"/>
  <c r="BX111" i="1"/>
  <c r="BX63" i="1"/>
  <c r="BX72" i="1"/>
  <c r="BX18" i="1"/>
  <c r="BX106" i="1"/>
  <c r="BX61" i="1"/>
  <c r="BX68" i="1"/>
  <c r="BX58" i="1"/>
  <c r="BX13" i="1"/>
  <c r="BX105" i="1"/>
  <c r="BX107" i="1"/>
  <c r="BX108" i="1"/>
  <c r="BX17" i="1"/>
  <c r="BX112" i="1"/>
  <c r="BX115" i="1"/>
  <c r="BX65" i="1"/>
  <c r="BX122" i="1"/>
  <c r="BX114" i="1"/>
  <c r="BX120" i="1"/>
  <c r="BX55" i="1"/>
  <c r="BX119" i="1"/>
  <c r="BX113" i="1"/>
  <c r="BX67" i="1"/>
  <c r="BX10" i="1"/>
  <c r="BX117" i="1"/>
  <c r="BX15" i="1"/>
  <c r="BX8" i="1"/>
  <c r="BX9" i="1"/>
  <c r="BX109" i="1"/>
  <c r="BX16" i="1"/>
  <c r="BB58" i="1"/>
  <c r="BR62" i="1"/>
  <c r="BS62" i="1" s="1"/>
  <c r="AG24" i="1"/>
  <c r="BB10" i="1"/>
  <c r="BB11" i="1" s="1"/>
  <c r="BB12" i="1" s="1"/>
  <c r="BB13" i="1" s="1"/>
  <c r="BB14" i="1" s="1"/>
  <c r="BB15" i="1" s="1"/>
  <c r="BB16" i="1" s="1"/>
  <c r="BB17" i="1" s="1"/>
  <c r="BB18" i="1" s="1"/>
  <c r="BB19" i="1" s="1"/>
  <c r="BB20" i="1" s="1"/>
  <c r="BB21" i="1" s="1"/>
  <c r="BB22" i="1" s="1"/>
  <c r="BB23" i="1" s="1"/>
  <c r="BB24" i="1" s="1"/>
  <c r="AG21" i="1"/>
  <c r="AV15" i="1"/>
  <c r="AM27" i="1"/>
  <c r="BD7" i="1"/>
  <c r="BR56" i="1"/>
  <c r="BS56" i="1" s="1"/>
  <c r="BX19" i="1"/>
  <c r="BF106" i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R106" i="1"/>
  <c r="BS106" i="1" s="1"/>
  <c r="BR57" i="1"/>
  <c r="BS57" i="1" s="1"/>
  <c r="BX12" i="1"/>
  <c r="BR117" i="1"/>
  <c r="BS117" i="1" s="1"/>
  <c r="BJ7" i="1"/>
  <c r="AS27" i="1"/>
  <c r="AG22" i="1"/>
  <c r="BB7" i="1"/>
  <c r="AK27" i="1"/>
  <c r="BB8" i="1"/>
  <c r="BX21" i="1"/>
  <c r="BR66" i="1"/>
  <c r="BS66" i="1" s="1"/>
  <c r="BX7" i="1"/>
  <c r="BX26" i="1" s="1"/>
  <c r="BR120" i="1"/>
  <c r="BS120" i="1" s="1"/>
  <c r="BE54" i="1"/>
  <c r="BE55" i="1" s="1"/>
  <c r="BE56" i="1" s="1"/>
  <c r="BE57" i="1" s="1"/>
  <c r="BE58" i="1" s="1"/>
  <c r="BE59" i="1" s="1"/>
  <c r="BE60" i="1" s="1"/>
  <c r="BE61" i="1" s="1"/>
  <c r="BE62" i="1" s="1"/>
  <c r="BE63" i="1" s="1"/>
  <c r="BE64" i="1" s="1"/>
  <c r="BE65" i="1" s="1"/>
  <c r="BE66" i="1" s="1"/>
  <c r="BE67" i="1" s="1"/>
  <c r="BE68" i="1" s="1"/>
  <c r="BE69" i="1" s="1"/>
  <c r="BE70" i="1" s="1"/>
  <c r="BE71" i="1" s="1"/>
  <c r="BR54" i="1"/>
  <c r="BX24" i="1"/>
  <c r="BJ10" i="1"/>
  <c r="BJ11" i="1" s="1"/>
  <c r="BJ12" i="1" s="1"/>
  <c r="BJ13" i="1" s="1"/>
  <c r="BJ14" i="1" s="1"/>
  <c r="BJ15" i="1" s="1"/>
  <c r="BJ16" i="1" s="1"/>
  <c r="BJ17" i="1" s="1"/>
  <c r="BJ18" i="1" s="1"/>
  <c r="BJ19" i="1" s="1"/>
  <c r="BJ20" i="1" s="1"/>
  <c r="BJ21" i="1" s="1"/>
  <c r="BJ22" i="1" s="1"/>
  <c r="BJ23" i="1" s="1"/>
  <c r="BJ24" i="1" s="1"/>
  <c r="AD27" i="1"/>
  <c r="AF15" i="1"/>
  <c r="BB59" i="1"/>
  <c r="BB60" i="1" s="1"/>
  <c r="BB61" i="1" s="1"/>
  <c r="BB62" i="1" s="1"/>
  <c r="BB63" i="1" s="1"/>
  <c r="BB64" i="1" s="1"/>
  <c r="BB65" i="1" s="1"/>
  <c r="BB66" i="1" s="1"/>
  <c r="BB67" i="1" s="1"/>
  <c r="BB68" i="1" s="1"/>
  <c r="BB69" i="1" s="1"/>
  <c r="BB70" i="1" s="1"/>
  <c r="BB71" i="1" s="1"/>
  <c r="BR115" i="1"/>
  <c r="BS115" i="1" s="1"/>
  <c r="BR116" i="1"/>
  <c r="BS116" i="1" s="1"/>
  <c r="BR111" i="1"/>
  <c r="BS111" i="1" s="1"/>
  <c r="BJ8" i="1"/>
  <c r="BD57" i="1"/>
  <c r="BD58" i="1" s="1"/>
  <c r="BD59" i="1" s="1"/>
  <c r="BD60" i="1" s="1"/>
  <c r="BD61" i="1" s="1"/>
  <c r="BD62" i="1" s="1"/>
  <c r="BD63" i="1" s="1"/>
  <c r="BD64" i="1" s="1"/>
  <c r="BD65" i="1" s="1"/>
  <c r="BD66" i="1" s="1"/>
  <c r="BD67" i="1" s="1"/>
  <c r="BD68" i="1" s="1"/>
  <c r="BD69" i="1" s="1"/>
  <c r="BD70" i="1" s="1"/>
  <c r="BD71" i="1" s="1"/>
  <c r="BC57" i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X69" i="1"/>
  <c r="AG19" i="1"/>
  <c r="BM7" i="1" l="1"/>
  <c r="BM8" i="1" s="1"/>
  <c r="BM9" i="1" s="1"/>
  <c r="BM10" i="1" s="1"/>
  <c r="BM11" i="1" s="1"/>
  <c r="BM12" i="1" s="1"/>
  <c r="BM13" i="1" s="1"/>
  <c r="BM14" i="1" s="1"/>
  <c r="BM15" i="1" s="1"/>
  <c r="BM16" i="1" s="1"/>
  <c r="BM17" i="1" s="1"/>
  <c r="BM18" i="1" s="1"/>
  <c r="BM19" i="1" s="1"/>
  <c r="BM20" i="1" s="1"/>
  <c r="BM21" i="1" s="1"/>
  <c r="BM22" i="1" s="1"/>
  <c r="BM23" i="1" s="1"/>
  <c r="BM24" i="1" s="1"/>
  <c r="AV27" i="1"/>
  <c r="AW14" i="1"/>
  <c r="AW10" i="1"/>
  <c r="AW13" i="1"/>
  <c r="AW23" i="1"/>
  <c r="AW18" i="1"/>
  <c r="AW17" i="1"/>
  <c r="AW9" i="1"/>
  <c r="AW20" i="1"/>
  <c r="AW8" i="1"/>
  <c r="AW16" i="1"/>
  <c r="AW12" i="1"/>
  <c r="AW11" i="1"/>
  <c r="AW7" i="1"/>
  <c r="AW24" i="1"/>
  <c r="AW22" i="1"/>
  <c r="AW21" i="1"/>
  <c r="AW19" i="1"/>
  <c r="BS54" i="1"/>
  <c r="AP74" i="1"/>
  <c r="AW15" i="1"/>
  <c r="AU27" i="1"/>
  <c r="BL7" i="1"/>
  <c r="BL8" i="1" s="1"/>
  <c r="BL9" i="1" s="1"/>
  <c r="BL10" i="1" s="1"/>
  <c r="BL11" i="1" s="1"/>
  <c r="BL12" i="1" s="1"/>
  <c r="BL13" i="1" s="1"/>
  <c r="BL14" i="1" s="1"/>
  <c r="BL15" i="1" s="1"/>
  <c r="BL16" i="1" s="1"/>
  <c r="BL17" i="1" s="1"/>
  <c r="BL18" i="1" s="1"/>
  <c r="BL19" i="1" s="1"/>
  <c r="BL20" i="1" s="1"/>
  <c r="BL21" i="1" s="1"/>
  <c r="BL22" i="1" s="1"/>
  <c r="BL23" i="1" s="1"/>
  <c r="BL24" i="1" s="1"/>
  <c r="AG15" i="1"/>
  <c r="AF27" i="1"/>
  <c r="AY15" i="1" s="1"/>
  <c r="AG27" i="1" l="1"/>
  <c r="BN8" i="1"/>
  <c r="BN9" i="1" s="1"/>
  <c r="BN10" i="1" s="1"/>
  <c r="BN11" i="1" s="1"/>
  <c r="BN12" i="1" s="1"/>
  <c r="BN13" i="1" s="1"/>
  <c r="BN14" i="1" s="1"/>
  <c r="BN15" i="1" s="1"/>
  <c r="BN16" i="1" s="1"/>
  <c r="BN17" i="1" s="1"/>
  <c r="BN18" i="1" s="1"/>
  <c r="BN19" i="1" s="1"/>
  <c r="BN20" i="1" s="1"/>
  <c r="BN21" i="1" s="1"/>
  <c r="BN22" i="1" s="1"/>
  <c r="BN23" i="1" s="1"/>
  <c r="BN24" i="1" s="1"/>
  <c r="BN7" i="1"/>
  <c r="AW27" i="1"/>
  <c r="AY12" i="1"/>
  <c r="AY14" i="1"/>
  <c r="AY8" i="1"/>
  <c r="AY11" i="1"/>
  <c r="AY10" i="1"/>
  <c r="AY23" i="1"/>
  <c r="AY16" i="1"/>
  <c r="AY13" i="1"/>
  <c r="AY18" i="1"/>
  <c r="AY9" i="1"/>
  <c r="AY7" i="1"/>
  <c r="AY20" i="1"/>
  <c r="AY17" i="1"/>
  <c r="AY24" i="1"/>
  <c r="AY19" i="1"/>
  <c r="AY21" i="1"/>
  <c r="AY22" i="1"/>
  <c r="AZ14" i="1" l="1"/>
  <c r="AZ13" i="1"/>
  <c r="AZ10" i="1"/>
  <c r="AZ23" i="1"/>
  <c r="AZ8" i="1"/>
  <c r="AZ12" i="1"/>
  <c r="AZ16" i="1"/>
  <c r="AZ11" i="1"/>
  <c r="AZ17" i="1"/>
  <c r="AZ20" i="1"/>
  <c r="AZ9" i="1"/>
  <c r="AZ18" i="1"/>
  <c r="AZ7" i="1"/>
  <c r="AZ24" i="1"/>
  <c r="AZ22" i="1"/>
  <c r="AZ21" i="1"/>
  <c r="AZ19" i="1"/>
  <c r="AZ15" i="1"/>
  <c r="AY27" i="1"/>
  <c r="AZ27" i="1" l="1"/>
</calcChain>
</file>

<file path=xl/sharedStrings.xml><?xml version="1.0" encoding="utf-8"?>
<sst xmlns="http://schemas.openxmlformats.org/spreadsheetml/2006/main" count="325" uniqueCount="117">
  <si>
    <t>WORK TRIPS - 1988: DISTRIBUTION in 5 minute intervals</t>
  </si>
  <si>
    <t>Regression Output:</t>
  </si>
  <si>
    <t>Constant</t>
  </si>
  <si>
    <t>AUTO TRAVEL TIMES weighted by AUTO TRIPS TRAVEL 2 04/30/92</t>
  </si>
  <si>
    <t>TRANSIT TRAVEL TIMES weighted by TRANSIT TRIPS</t>
  </si>
  <si>
    <t>Std Err of Y Est</t>
  </si>
  <si>
    <t>TRAVEL 2 0430 WORK TRIPS, ALL MODES (composite TT)</t>
  </si>
  <si>
    <t>PROPORTION of TRIPS/AREAFACTOR</t>
  </si>
  <si>
    <t>R Squared</t>
  </si>
  <si>
    <t>TRIPS</t>
  </si>
  <si>
    <t>PROP</t>
  </si>
  <si>
    <t>CUM</t>
  </si>
  <si>
    <t>CUMPROP</t>
  </si>
  <si>
    <t>DATA</t>
  </si>
  <si>
    <t>TRIPS/FACTOR</t>
  </si>
  <si>
    <t>CUMULATIVE</t>
  </si>
  <si>
    <t>No. of Observations</t>
  </si>
  <si>
    <t>ADT</t>
  </si>
  <si>
    <t>APT</t>
  </si>
  <si>
    <t>AU1</t>
  </si>
  <si>
    <t>AUDR2</t>
  </si>
  <si>
    <t>AUDR3</t>
  </si>
  <si>
    <t>AUPX</t>
  </si>
  <si>
    <t>BCRAIL</t>
  </si>
  <si>
    <t>BUS</t>
  </si>
  <si>
    <t>WALK</t>
  </si>
  <si>
    <t>WCRAIL</t>
  </si>
  <si>
    <t>AU2+</t>
  </si>
  <si>
    <t>ALLWCT</t>
  </si>
  <si>
    <t>ALLTRN</t>
  </si>
  <si>
    <t>ALLTRIPS</t>
  </si>
  <si>
    <t>FACTOR</t>
  </si>
  <si>
    <t>NONAUTO</t>
  </si>
  <si>
    <t>AUTO</t>
  </si>
  <si>
    <t>TIME</t>
  </si>
  <si>
    <t>P</t>
  </si>
  <si>
    <t>ln(p)</t>
  </si>
  <si>
    <t>TIME^2</t>
  </si>
  <si>
    <t>TIME^0.5</t>
  </si>
  <si>
    <t>PREDICTED</t>
  </si>
  <si>
    <t>ADJ PRED</t>
  </si>
  <si>
    <t>Degrees of Freedom</t>
  </si>
  <si>
    <t>X Coefficient(s)</t>
  </si>
  <si>
    <t>Std Err of Coef.</t>
  </si>
  <si>
    <t>TSTAT</t>
  </si>
  <si>
    <t>FIGURE 4</t>
  </si>
  <si>
    <t>NON-WORK TRIPS - 1988: DISTRIBUTION in 5 minute intervals</t>
  </si>
  <si>
    <t>CUMULATIVES</t>
  </si>
  <si>
    <t>NWAU1</t>
  </si>
  <si>
    <t>NWAU2</t>
  </si>
  <si>
    <t>NWTRN</t>
  </si>
  <si>
    <t>NWWALK</t>
  </si>
  <si>
    <t>LINKED WORK TRIPS - 1988: DISTRIBUTION in 5 minute intervals</t>
  </si>
  <si>
    <t>LKAU1</t>
  </si>
  <si>
    <t>LKAU2</t>
  </si>
  <si>
    <t>LKTRN</t>
  </si>
  <si>
    <t>LKWALK</t>
  </si>
  <si>
    <t>AU2</t>
  </si>
  <si>
    <t>TRN</t>
  </si>
  <si>
    <t>express bus access</t>
  </si>
  <si>
    <t>auto</t>
  </si>
  <si>
    <t>walk</t>
  </si>
  <si>
    <t>AU1.68-88</t>
  </si>
  <si>
    <t>Line</t>
  </si>
  <si>
    <t>Auto 1 Distribution by Purpose</t>
  </si>
  <si>
    <t>AUTO1.88</t>
  </si>
  <si>
    <t>AUTO 1 TRIPS - 1988</t>
  </si>
  <si>
    <t>CUM.1968</t>
  </si>
  <si>
    <t>1968 Cumulative Distribution by Mode</t>
  </si>
  <si>
    <t>CUM.1988</t>
  </si>
  <si>
    <t>1988 Cumulative Distribution by Mode</t>
  </si>
  <si>
    <t>CUM.88.NW</t>
  </si>
  <si>
    <t>1988 Distribution by Mode: NonWork</t>
  </si>
  <si>
    <t>CUM.88.WK.AUTOS</t>
  </si>
  <si>
    <t>1988 Distribution by Mode</t>
  </si>
  <si>
    <t>CUM.88.WORK</t>
  </si>
  <si>
    <t>CUM.CHN.68.88</t>
  </si>
  <si>
    <t>Distribution by Mode: Chained Work</t>
  </si>
  <si>
    <t>CUM.WK.68.88</t>
  </si>
  <si>
    <t>Distribution by Mode: Work</t>
  </si>
  <si>
    <t>D.CUM.AU1</t>
  </si>
  <si>
    <t>1968 v 1988 Cumulative Distribution by Mode</t>
  </si>
  <si>
    <t>D.CUM.AU2</t>
  </si>
  <si>
    <t>D.CUM.WALK</t>
  </si>
  <si>
    <t>D.CUM.WCT</t>
  </si>
  <si>
    <t>INOP</t>
  </si>
  <si>
    <t>Intervening Opportunities</t>
  </si>
  <si>
    <t>NW.68-88.CUM</t>
  </si>
  <si>
    <t>Distribution by Mode: NonWork</t>
  </si>
  <si>
    <t>NW.68.DATA</t>
  </si>
  <si>
    <t>1968 Trip Distribution</t>
  </si>
  <si>
    <t>NW.68.TRN.STO</t>
  </si>
  <si>
    <t>NW.AU.88.STO</t>
  </si>
  <si>
    <t>NW.AU1.68.STO</t>
  </si>
  <si>
    <t>NW.CUM.AU1</t>
  </si>
  <si>
    <t>RAIL.ACCESS</t>
  </si>
  <si>
    <t>Distribution by Access Mode: Rail Work Trips</t>
  </si>
  <si>
    <t>TRN.68-88</t>
  </si>
  <si>
    <t>Transit Distribution by Purpose</t>
  </si>
  <si>
    <t>TRN.WORK.88</t>
  </si>
  <si>
    <t>Distribution by Mode: Non Auto Work Trips</t>
  </si>
  <si>
    <t>WK.68.WALK.STO</t>
  </si>
  <si>
    <t>WK.AU.88.STO</t>
  </si>
  <si>
    <t>WK.TRN.68.STO</t>
  </si>
  <si>
    <t>WK88ALL</t>
  </si>
  <si>
    <t>WKAU88CUMSTO</t>
  </si>
  <si>
    <t>1988 Trip Distribution</t>
  </si>
  <si>
    <t>1968 Household Travel Survey</t>
  </si>
  <si>
    <t>HOME TO WORK AND WORK TO HOME TRIPS, ALL DAY</t>
  </si>
  <si>
    <t>PROPORTIONS</t>
  </si>
  <si>
    <t>EQUATION</t>
  </si>
  <si>
    <t>EQUATION: BALANCED</t>
  </si>
  <si>
    <t>ALLAUTO</t>
  </si>
  <si>
    <t>NON-WORK TRIPS, ALL DAY, SHOP and SOCIAL/RECREATIONAL and SCHOOL and PICKUP/DROPOFF</t>
  </si>
  <si>
    <t>NUMBERS</t>
  </si>
  <si>
    <t>PROPORTION</t>
  </si>
  <si>
    <t>LINKED X-WORK (AM) and WORK-X (PM) 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</si>
</sst>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)"/>
    <numFmt numFmtId="165" formatCode="0_)"/>
  </numFmts>
  <fonts count="2" x14ac:knownFonts="1">
    <font>
      <sz val="9"/>
      <name val="Geneva"/>
    </font>
    <font>
      <sz val="9"/>
      <color indexed="8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Protection="1"/>
    <xf numFmtId="165" fontId="0" fillId="0" borderId="0" xfId="0" applyNumberForma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26" Type="http://schemas.openxmlformats.org/officeDocument/2006/relationships/chartsheet" Target="chartsheets/sheet24.xml"/><Relationship Id="rId39" Type="http://schemas.openxmlformats.org/officeDocument/2006/relationships/calcChain" Target="calcChain.xml"/><Relationship Id="rId21" Type="http://schemas.openxmlformats.org/officeDocument/2006/relationships/chartsheet" Target="chartsheets/sheet19.xml"/><Relationship Id="rId34" Type="http://schemas.openxmlformats.org/officeDocument/2006/relationships/chartsheet" Target="chartsheets/sheet32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chartsheet" Target="chartsheets/sheet23.xml"/><Relationship Id="rId33" Type="http://schemas.openxmlformats.org/officeDocument/2006/relationships/chartsheet" Target="chartsheets/sheet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29" Type="http://schemas.openxmlformats.org/officeDocument/2006/relationships/chartsheet" Target="chartsheets/sheet27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chartsheet" Target="chartsheets/sheet22.xml"/><Relationship Id="rId32" Type="http://schemas.openxmlformats.org/officeDocument/2006/relationships/chartsheet" Target="chartsheets/sheet30.xml"/><Relationship Id="rId37" Type="http://schemas.openxmlformats.org/officeDocument/2006/relationships/styles" Target="style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chartsheet" Target="chartsheets/sheet21.xml"/><Relationship Id="rId28" Type="http://schemas.openxmlformats.org/officeDocument/2006/relationships/chartsheet" Target="chartsheets/sheet26.xml"/><Relationship Id="rId36" Type="http://schemas.openxmlformats.org/officeDocument/2006/relationships/theme" Target="theme/theme1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31" Type="http://schemas.openxmlformats.org/officeDocument/2006/relationships/chartsheet" Target="chartsheets/sheet29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chartsheet" Target="chartsheets/sheet20.xml"/><Relationship Id="rId27" Type="http://schemas.openxmlformats.org/officeDocument/2006/relationships/chartsheet" Target="chartsheets/sheet25.xml"/><Relationship Id="rId30" Type="http://schemas.openxmlformats.org/officeDocument/2006/relationships/chartsheet" Target="chartsheets/sheet28.xml"/><Relationship Id="rId35" Type="http://schemas.openxmlformats.org/officeDocument/2006/relationships/chartsheet" Target="chartsheets/sheet33.xml"/><Relationship Id="rId8" Type="http://schemas.openxmlformats.org/officeDocument/2006/relationships/chartsheet" Target="chartsheets/sheet6.xml"/><Relationship Id="rId3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Work Trip Travel Time Distribution
Afternoon Peak Period, Transit Modes, Metropolitan Washington</a:t>
            </a:r>
          </a:p>
        </c:rich>
      </c:tx>
      <c:layout>
        <c:manualLayout>
          <c:xMode val="edge"/>
          <c:yMode val="edge"/>
          <c:x val="0.20275862068965517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2068965517241E-2"/>
          <c:y val="0.18778280542986425"/>
          <c:w val="0.83034482758620687"/>
          <c:h val="0.68778280542986425"/>
        </c:manualLayout>
      </c:layout>
      <c:lineChart>
        <c:grouping val="standard"/>
        <c:varyColors val="0"/>
        <c:ser>
          <c:idx val="0"/>
          <c:order val="0"/>
          <c:tx>
            <c:v>TRAVEL2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A!$DK$4:$DK$20</c:f>
              <c:numCache>
                <c:formatCode>General</c:formatCode>
                <c:ptCount val="17"/>
                <c:pt idx="0">
                  <c:v>4.9083769633507864E-2</c:v>
                </c:pt>
                <c:pt idx="1">
                  <c:v>8.1915357766143115E-2</c:v>
                </c:pt>
                <c:pt idx="2">
                  <c:v>0.14136125654450263</c:v>
                </c:pt>
                <c:pt idx="3">
                  <c:v>0.22054973821989532</c:v>
                </c:pt>
                <c:pt idx="4">
                  <c:v>0.32744328097731246</c:v>
                </c:pt>
                <c:pt idx="5">
                  <c:v>0.43248254799301927</c:v>
                </c:pt>
                <c:pt idx="6">
                  <c:v>0.54013961605584648</c:v>
                </c:pt>
                <c:pt idx="7">
                  <c:v>0.63590750436300181</c:v>
                </c:pt>
                <c:pt idx="8">
                  <c:v>0.71847731239092505</c:v>
                </c:pt>
                <c:pt idx="9">
                  <c:v>0.78992146596858648</c:v>
                </c:pt>
                <c:pt idx="10">
                  <c:v>0.83965968586387452</c:v>
                </c:pt>
                <c:pt idx="11">
                  <c:v>0.88307155322862141</c:v>
                </c:pt>
                <c:pt idx="12">
                  <c:v>0.91590314136125672</c:v>
                </c:pt>
                <c:pt idx="13">
                  <c:v>0.9453534031413614</c:v>
                </c:pt>
                <c:pt idx="14">
                  <c:v>0.96673211169284479</c:v>
                </c:pt>
                <c:pt idx="15">
                  <c:v>0.98472949389179776</c:v>
                </c:pt>
                <c:pt idx="16">
                  <c:v>1.0001090750436303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C4-E049-9DC0-F80234F7E202}"/>
            </c:ext>
          </c:extLst>
        </c:ser>
        <c:ser>
          <c:idx val="1"/>
          <c:order val="1"/>
          <c:tx>
            <c:v>OBSERVED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A!$BN$7:$BN$24</c:f>
              <c:numCache>
                <c:formatCode>0.00_)</c:formatCode>
                <c:ptCount val="18"/>
                <c:pt idx="0">
                  <c:v>2.5721600369582584E-2</c:v>
                </c:pt>
                <c:pt idx="1">
                  <c:v>7.1002685248457667E-2</c:v>
                </c:pt>
                <c:pt idx="2">
                  <c:v>0.15150720397301276</c:v>
                </c:pt>
                <c:pt idx="3">
                  <c:v>0.25304135667606664</c:v>
                </c:pt>
                <c:pt idx="4">
                  <c:v>0.36937565567222647</c:v>
                </c:pt>
                <c:pt idx="5">
                  <c:v>0.47289246494258963</c:v>
                </c:pt>
                <c:pt idx="6">
                  <c:v>0.56253549051500951</c:v>
                </c:pt>
                <c:pt idx="7">
                  <c:v>0.66349938884130089</c:v>
                </c:pt>
                <c:pt idx="8">
                  <c:v>0.74062809790088646</c:v>
                </c:pt>
                <c:pt idx="9">
                  <c:v>0.78954004292547719</c:v>
                </c:pt>
                <c:pt idx="10">
                  <c:v>0.85380073339043905</c:v>
                </c:pt>
                <c:pt idx="11">
                  <c:v>0.89609580273529621</c:v>
                </c:pt>
                <c:pt idx="12">
                  <c:v>0.92310949846488499</c:v>
                </c:pt>
                <c:pt idx="13">
                  <c:v>0.94590283057910907</c:v>
                </c:pt>
                <c:pt idx="14">
                  <c:v>0.96382132991982761</c:v>
                </c:pt>
                <c:pt idx="15">
                  <c:v>0.97680965534499198</c:v>
                </c:pt>
                <c:pt idx="16">
                  <c:v>0.99277677789434182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C4-E049-9DC0-F80234F7E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61776"/>
        <c:axId val="1"/>
      </c:lineChart>
      <c:catAx>
        <c:axId val="1058561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6068965517241378"/>
              <c:y val="0.94343891402714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4.1379310344827587E-3"/>
              <c:y val="0.459276018099547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56177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4137931034482763E-2"/>
          <c:y val="0.19457013574660634"/>
          <c:w val="0.12689655172413794"/>
          <c:h val="8.82352941176470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Auto 2+ Distribution by Purpose
1968 v. 1988</a:t>
            </a:r>
          </a:p>
        </c:rich>
      </c:tx>
      <c:layout>
        <c:manualLayout>
          <c:xMode val="edge"/>
          <c:yMode val="edge"/>
          <c:x val="0.4027586206896551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"/>
          <c:y val="0.15158371040723981"/>
          <c:w val="0.783448275862069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WK-88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A!$BL$7:$BL$24</c:f>
              <c:numCache>
                <c:formatCode>0.00_)</c:formatCode>
                <c:ptCount val="18"/>
                <c:pt idx="0">
                  <c:v>6.319546091253915E-2</c:v>
                </c:pt>
                <c:pt idx="1">
                  <c:v>0.16263358358122038</c:v>
                </c:pt>
                <c:pt idx="2">
                  <c:v>0.28814706391551381</c:v>
                </c:pt>
                <c:pt idx="3">
                  <c:v>0.38740418968475065</c:v>
                </c:pt>
                <c:pt idx="4">
                  <c:v>0.46407408281788565</c:v>
                </c:pt>
                <c:pt idx="5">
                  <c:v>0.60742362717786491</c:v>
                </c:pt>
                <c:pt idx="6">
                  <c:v>0.67567519712923185</c:v>
                </c:pt>
                <c:pt idx="7">
                  <c:v>0.74500881376205996</c:v>
                </c:pt>
                <c:pt idx="8">
                  <c:v>0.82842084139949956</c:v>
                </c:pt>
                <c:pt idx="9">
                  <c:v>0.86698301776917397</c:v>
                </c:pt>
                <c:pt idx="10">
                  <c:v>0.88774060783480502</c:v>
                </c:pt>
                <c:pt idx="11">
                  <c:v>0.94100681492673566</c:v>
                </c:pt>
                <c:pt idx="12">
                  <c:v>0.95451862694178202</c:v>
                </c:pt>
                <c:pt idx="13">
                  <c:v>0.96615751451909915</c:v>
                </c:pt>
                <c:pt idx="14">
                  <c:v>0.97922667107354777</c:v>
                </c:pt>
                <c:pt idx="15">
                  <c:v>0.98190621212836626</c:v>
                </c:pt>
                <c:pt idx="16">
                  <c:v>0.98598257708107095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3-A541-BB2F-E72E1B7EFA1C}"/>
            </c:ext>
          </c:extLst>
        </c:ser>
        <c:ser>
          <c:idx val="1"/>
          <c:order val="1"/>
          <c:tx>
            <c:v>NW-88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A!$BC$54:$BC$71</c:f>
              <c:numCache>
                <c:formatCode>0.00_)</c:formatCode>
                <c:ptCount val="18"/>
                <c:pt idx="0">
                  <c:v>0.57080414445723215</c:v>
                </c:pt>
                <c:pt idx="1">
                  <c:v>0.7795952666247985</c:v>
                </c:pt>
                <c:pt idx="2">
                  <c:v>0.8937984512591951</c:v>
                </c:pt>
                <c:pt idx="3">
                  <c:v>0.94023849799380321</c:v>
                </c:pt>
                <c:pt idx="4">
                  <c:v>0.95739047290929336</c:v>
                </c:pt>
                <c:pt idx="5">
                  <c:v>0.97950037700723069</c:v>
                </c:pt>
                <c:pt idx="6">
                  <c:v>0.98479600849530891</c:v>
                </c:pt>
                <c:pt idx="7">
                  <c:v>0.98959229214937616</c:v>
                </c:pt>
                <c:pt idx="8">
                  <c:v>0.99279900451611014</c:v>
                </c:pt>
                <c:pt idx="9">
                  <c:v>0.99529576410053888</c:v>
                </c:pt>
                <c:pt idx="10">
                  <c:v>0.99619042111999578</c:v>
                </c:pt>
                <c:pt idx="11">
                  <c:v>0.99799547292941559</c:v>
                </c:pt>
                <c:pt idx="12">
                  <c:v>0.99828016403024467</c:v>
                </c:pt>
                <c:pt idx="13">
                  <c:v>0.99875064333106967</c:v>
                </c:pt>
                <c:pt idx="14">
                  <c:v>0.99931608206700495</c:v>
                </c:pt>
                <c:pt idx="15">
                  <c:v>0.99963021236106198</c:v>
                </c:pt>
                <c:pt idx="16">
                  <c:v>0.99969140815850621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13-A541-BB2F-E72E1B7EFA1C}"/>
            </c:ext>
          </c:extLst>
        </c:ser>
        <c:ser>
          <c:idx val="2"/>
          <c:order val="2"/>
          <c:tx>
            <c:v>WK-68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A!$M$5:$M$23</c:f>
              <c:numCache>
                <c:formatCode>General</c:formatCode>
                <c:ptCount val="19"/>
                <c:pt idx="1">
                  <c:v>0</c:v>
                </c:pt>
                <c:pt idx="2">
                  <c:v>10065</c:v>
                </c:pt>
                <c:pt idx="3">
                  <c:v>17469</c:v>
                </c:pt>
                <c:pt idx="4">
                  <c:v>29788</c:v>
                </c:pt>
                <c:pt idx="5">
                  <c:v>37761</c:v>
                </c:pt>
                <c:pt idx="6">
                  <c:v>45806</c:v>
                </c:pt>
                <c:pt idx="7">
                  <c:v>34735</c:v>
                </c:pt>
                <c:pt idx="8">
                  <c:v>30611</c:v>
                </c:pt>
                <c:pt idx="9">
                  <c:v>31623</c:v>
                </c:pt>
                <c:pt idx="10">
                  <c:v>24778</c:v>
                </c:pt>
                <c:pt idx="11">
                  <c:v>15706</c:v>
                </c:pt>
                <c:pt idx="12">
                  <c:v>24760</c:v>
                </c:pt>
                <c:pt idx="13">
                  <c:v>14393</c:v>
                </c:pt>
                <c:pt idx="14">
                  <c:v>8595</c:v>
                </c:pt>
                <c:pt idx="15">
                  <c:v>8006</c:v>
                </c:pt>
                <c:pt idx="16">
                  <c:v>6644</c:v>
                </c:pt>
                <c:pt idx="17">
                  <c:v>4561</c:v>
                </c:pt>
                <c:pt idx="18">
                  <c:v>5880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13-A541-BB2F-E72E1B7EFA1C}"/>
            </c:ext>
          </c:extLst>
        </c:ser>
        <c:ser>
          <c:idx val="3"/>
          <c:order val="3"/>
          <c:tx>
            <c:v>NW-68</c:v>
          </c:tx>
          <c:spPr>
            <a:ln w="3175">
              <a:solidFill>
                <a:srgbClr val="FFFF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A!$M$54:$M$72</c:f>
              <c:numCache>
                <c:formatCode>General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13-A541-BB2F-E72E1B7EF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840176"/>
        <c:axId val="1"/>
      </c:lineChart>
      <c:catAx>
        <c:axId val="105484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8551724137931035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09502262443438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484017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48275862068962"/>
          <c:y val="0.4434389140271493"/>
          <c:w val="0.08"/>
          <c:h val="0.147058823529411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AUTO 1 TRIPS - 1988</a:t>
            </a:r>
          </a:p>
        </c:rich>
      </c:tx>
      <c:layout>
        <c:manualLayout>
          <c:xMode val="edge"/>
          <c:yMode val="edge"/>
          <c:x val="0.4317241379310344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2217194570135746"/>
          <c:w val="0.7931034482758621"/>
          <c:h val="0.75791855203619907"/>
        </c:manualLayout>
      </c:layout>
      <c:lineChart>
        <c:grouping val="standard"/>
        <c:varyColors val="0"/>
        <c:ser>
          <c:idx val="0"/>
          <c:order val="0"/>
          <c:tx>
            <c:v>non-work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A!$AJ$54:$AJ$72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A!$AK$54:$AK$72</c:f>
              <c:numCache>
                <c:formatCode>0.00_)</c:formatCode>
                <c:ptCount val="19"/>
                <c:pt idx="0">
                  <c:v>0.57665582522732839</c:v>
                </c:pt>
                <c:pt idx="1">
                  <c:v>0.21506950800175645</c:v>
                </c:pt>
                <c:pt idx="2">
                  <c:v>9.9352600087168619E-2</c:v>
                </c:pt>
                <c:pt idx="3">
                  <c:v>4.4746512979428561E-2</c:v>
                </c:pt>
                <c:pt idx="4">
                  <c:v>1.747880840092882E-2</c:v>
                </c:pt>
                <c:pt idx="5">
                  <c:v>2.4039660118046761E-2</c:v>
                </c:pt>
                <c:pt idx="6">
                  <c:v>5.8749774582586229E-3</c:v>
                </c:pt>
                <c:pt idx="7">
                  <c:v>5.6952632868023049E-3</c:v>
                </c:pt>
                <c:pt idx="8">
                  <c:v>4.7415978492945767E-3</c:v>
                </c:pt>
                <c:pt idx="9">
                  <c:v>2.0195732085455803E-3</c:v>
                </c:pt>
                <c:pt idx="10">
                  <c:v>7.0583461501626255E-4</c:v>
                </c:pt>
                <c:pt idx="11">
                  <c:v>1.8854916811290891E-3</c:v>
                </c:pt>
                <c:pt idx="12">
                  <c:v>5.0194195562313108E-4</c:v>
                </c:pt>
                <c:pt idx="13">
                  <c:v>1.9975025115721273E-4</c:v>
                </c:pt>
                <c:pt idx="14">
                  <c:v>3.8118588120466954E-4</c:v>
                </c:pt>
                <c:pt idx="15">
                  <c:v>2.4233746556757342E-4</c:v>
                </c:pt>
                <c:pt idx="16">
                  <c:v>3.4273823949311037E-5</c:v>
                </c:pt>
                <c:pt idx="17">
                  <c:v>3.7485770879417893E-4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3-7A45-8BB8-93218B3585AA}"/>
            </c:ext>
          </c:extLst>
        </c:ser>
        <c:ser>
          <c:idx val="1"/>
          <c:order val="1"/>
          <c:tx>
            <c:v>work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A!$AJ$54:$AJ$72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A!$AM$7:$AM$24</c:f>
              <c:numCache>
                <c:formatCode>0.00_)</c:formatCode>
                <c:ptCount val="18"/>
                <c:pt idx="0">
                  <c:v>6.6282670107822766E-2</c:v>
                </c:pt>
                <c:pt idx="1">
                  <c:v>0.11693058418289545</c:v>
                </c:pt>
                <c:pt idx="2">
                  <c:v>0.15456733889209656</c:v>
                </c:pt>
                <c:pt idx="3">
                  <c:v>0.12139048486865192</c:v>
                </c:pt>
                <c:pt idx="4">
                  <c:v>8.1625796706510226E-2</c:v>
                </c:pt>
                <c:pt idx="5">
                  <c:v>0.15365880103982452</c:v>
                </c:pt>
                <c:pt idx="6">
                  <c:v>5.7672124125178463E-2</c:v>
                </c:pt>
                <c:pt idx="7">
                  <c:v>5.2548846594905885E-2</c:v>
                </c:pt>
                <c:pt idx="8">
                  <c:v>6.5675909966622856E-2</c:v>
                </c:pt>
                <c:pt idx="9">
                  <c:v>3.1109810232561121E-2</c:v>
                </c:pt>
                <c:pt idx="10">
                  <c:v>1.5016245255012849E-2</c:v>
                </c:pt>
                <c:pt idx="11">
                  <c:v>3.9867773291764566E-2</c:v>
                </c:pt>
                <c:pt idx="12">
                  <c:v>9.7257882140047297E-3</c:v>
                </c:pt>
                <c:pt idx="13">
                  <c:v>8.9785545541995436E-3</c:v>
                </c:pt>
                <c:pt idx="14">
                  <c:v>1.2989794572167335E-2</c:v>
                </c:pt>
                <c:pt idx="15">
                  <c:v>3.5438851556879223E-3</c:v>
                </c:pt>
                <c:pt idx="16">
                  <c:v>1.3742903550241182E-3</c:v>
                </c:pt>
                <c:pt idx="17">
                  <c:v>7.0413018850691601E-3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13-7A45-8BB8-93218B3585AA}"/>
            </c:ext>
          </c:extLst>
        </c:ser>
        <c:ser>
          <c:idx val="2"/>
          <c:order val="2"/>
          <c:tx>
            <c:v>linked work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A!$AJ$54:$AJ$72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A!$AK$105:$AK$123</c:f>
              <c:numCache>
                <c:formatCode>0.00_)</c:formatCode>
                <c:ptCount val="19"/>
                <c:pt idx="0">
                  <c:v>6.8542943711688648E-2</c:v>
                </c:pt>
                <c:pt idx="1">
                  <c:v>0.14274071777846664</c:v>
                </c:pt>
                <c:pt idx="2">
                  <c:v>0.16552003439896804</c:v>
                </c:pt>
                <c:pt idx="3">
                  <c:v>0.13156605301840946</c:v>
                </c:pt>
                <c:pt idx="4">
                  <c:v>6.9127926162215136E-2</c:v>
                </c:pt>
                <c:pt idx="5">
                  <c:v>0.14530064098077058</c:v>
                </c:pt>
                <c:pt idx="6">
                  <c:v>5.6868293951181467E-2</c:v>
                </c:pt>
                <c:pt idx="7">
                  <c:v>4.4883653490395289E-2</c:v>
                </c:pt>
                <c:pt idx="8">
                  <c:v>5.8773236802895916E-2</c:v>
                </c:pt>
                <c:pt idx="9">
                  <c:v>2.4059278221653352E-2</c:v>
                </c:pt>
                <c:pt idx="10">
                  <c:v>1.8384448466546004E-2</c:v>
                </c:pt>
                <c:pt idx="11">
                  <c:v>3.2019039428817134E-2</c:v>
                </c:pt>
                <c:pt idx="12">
                  <c:v>1.074967750967471E-2</c:v>
                </c:pt>
                <c:pt idx="13">
                  <c:v>5.2998410047698568E-3</c:v>
                </c:pt>
                <c:pt idx="14">
                  <c:v>1.0814675559733209E-2</c:v>
                </c:pt>
                <c:pt idx="15">
                  <c:v>4.1148765537033886E-3</c:v>
                </c:pt>
                <c:pt idx="16">
                  <c:v>4.2598722038338852E-3</c:v>
                </c:pt>
                <c:pt idx="17">
                  <c:v>4.7548573542793718E-3</c:v>
                </c:pt>
                <c:pt idx="18">
                  <c:v>2.21993340199794E-3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13-7A45-8BB8-93218B358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328176"/>
        <c:axId val="1"/>
      </c:lineChart>
      <c:catAx>
        <c:axId val="105832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5655172413793105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479638009049773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32817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03448275862074"/>
          <c:y val="0.44570135746606337"/>
          <c:w val="0.10344827586206896"/>
          <c:h val="0.110859728506787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1968 Cumulative Distribution by Mode</a:t>
            </a:r>
          </a:p>
        </c:rich>
      </c:tx>
      <c:layout>
        <c:manualLayout>
          <c:xMode val="edge"/>
          <c:yMode val="edge"/>
          <c:x val="0.3848275862068965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2217194570135746"/>
          <c:w val="0.82758620689655171"/>
          <c:h val="0.75791855203619907"/>
        </c:manualLayout>
      </c:layout>
      <c:lineChart>
        <c:grouping val="standard"/>
        <c:varyColors val="0"/>
        <c:ser>
          <c:idx val="0"/>
          <c:order val="0"/>
          <c:tx>
            <c:v>au1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B!$L$5:$L$24</c:f>
              <c:numCache>
                <c:formatCode>0.00_)</c:formatCode>
                <c:ptCount val="20"/>
                <c:pt idx="0">
                  <c:v>6.5361750313422576E-2</c:v>
                </c:pt>
                <c:pt idx="1">
                  <c:v>0.15944976283877083</c:v>
                </c:pt>
                <c:pt idx="2">
                  <c:v>0.32435914471745753</c:v>
                </c:pt>
                <c:pt idx="3">
                  <c:v>0.4378545141516792</c:v>
                </c:pt>
                <c:pt idx="4">
                  <c:v>0.49124554419980471</c:v>
                </c:pt>
                <c:pt idx="5">
                  <c:v>0.73337184916430276</c:v>
                </c:pt>
                <c:pt idx="6">
                  <c:v>0.76596086406415198</c:v>
                </c:pt>
                <c:pt idx="7">
                  <c:v>0.80322608600199896</c:v>
                </c:pt>
                <c:pt idx="8">
                  <c:v>0.89586628844120653</c:v>
                </c:pt>
                <c:pt idx="9">
                  <c:v>0.91109313705665873</c:v>
                </c:pt>
                <c:pt idx="10">
                  <c:v>0.91692597449866831</c:v>
                </c:pt>
                <c:pt idx="11">
                  <c:v>0.97574080386390816</c:v>
                </c:pt>
                <c:pt idx="12">
                  <c:v>0.97898537746477243</c:v>
                </c:pt>
                <c:pt idx="13">
                  <c:v>0.98348826326340777</c:v>
                </c:pt>
                <c:pt idx="14">
                  <c:v>0.99216819093067721</c:v>
                </c:pt>
                <c:pt idx="15">
                  <c:v>0.99381820912940733</c:v>
                </c:pt>
                <c:pt idx="16">
                  <c:v>0.99501065925622068</c:v>
                </c:pt>
                <c:pt idx="17">
                  <c:v>0.99969495461872204</c:v>
                </c:pt>
                <c:pt idx="18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F-384A-B42E-84360E00379F}"/>
            </c:ext>
          </c:extLst>
        </c:ser>
        <c:ser>
          <c:idx val="1"/>
          <c:order val="1"/>
          <c:tx>
            <c:v>au2+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B!$M$5:$M$24</c:f>
              <c:numCache>
                <c:formatCode>0.00_)</c:formatCode>
                <c:ptCount val="20"/>
                <c:pt idx="0">
                  <c:v>5.5686257639350083E-2</c:v>
                </c:pt>
                <c:pt idx="1">
                  <c:v>0.12889495944052937</c:v>
                </c:pt>
                <c:pt idx="2">
                  <c:v>0.24608588336833162</c:v>
                </c:pt>
                <c:pt idx="3">
                  <c:v>0.33738435106191333</c:v>
                </c:pt>
                <c:pt idx="4">
                  <c:v>0.39700959607230529</c:v>
                </c:pt>
                <c:pt idx="5">
                  <c:v>0.6073192569429694</c:v>
                </c:pt>
                <c:pt idx="6">
                  <c:v>0.65613312432949833</c:v>
                </c:pt>
                <c:pt idx="7">
                  <c:v>0.7127039736719698</c:v>
                </c:pt>
                <c:pt idx="8">
                  <c:v>0.82666842330267287</c:v>
                </c:pt>
                <c:pt idx="9">
                  <c:v>0.85874764400158099</c:v>
                </c:pt>
                <c:pt idx="10">
                  <c:v>0.87347918789641943</c:v>
                </c:pt>
                <c:pt idx="11">
                  <c:v>0.95108127219881533</c:v>
                </c:pt>
                <c:pt idx="12">
                  <c:v>0.95949430392850132</c:v>
                </c:pt>
                <c:pt idx="13">
                  <c:v>0.96738572231348963</c:v>
                </c:pt>
                <c:pt idx="14">
                  <c:v>0.98396711147199822</c:v>
                </c:pt>
                <c:pt idx="15">
                  <c:v>0.98813464077241797</c:v>
                </c:pt>
                <c:pt idx="16">
                  <c:v>0.99017000830817137</c:v>
                </c:pt>
                <c:pt idx="17">
                  <c:v>0.99872285392406501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4F-384A-B42E-84360E00379F}"/>
            </c:ext>
          </c:extLst>
        </c:ser>
        <c:ser>
          <c:idx val="2"/>
          <c:order val="2"/>
          <c:tx>
            <c:v>trn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B!$N$5:$N$24</c:f>
              <c:numCache>
                <c:formatCode>0.00_)</c:formatCode>
                <c:ptCount val="20"/>
                <c:pt idx="0">
                  <c:v>4.3649029198162149E-3</c:v>
                </c:pt>
                <c:pt idx="1">
                  <c:v>1.7033496368756486E-2</c:v>
                </c:pt>
                <c:pt idx="2">
                  <c:v>6.4369349340447607E-2</c:v>
                </c:pt>
                <c:pt idx="3">
                  <c:v>0.11133466725952275</c:v>
                </c:pt>
                <c:pt idx="4">
                  <c:v>0.14927004594634652</c:v>
                </c:pt>
                <c:pt idx="5">
                  <c:v>0.37551504372313621</c:v>
                </c:pt>
                <c:pt idx="6">
                  <c:v>0.41691492515191936</c:v>
                </c:pt>
                <c:pt idx="7">
                  <c:v>0.47132429227804951</c:v>
                </c:pt>
                <c:pt idx="8">
                  <c:v>0.61655921150140802</c:v>
                </c:pt>
                <c:pt idx="9">
                  <c:v>0.66093819475322368</c:v>
                </c:pt>
                <c:pt idx="10">
                  <c:v>0.68488216985326811</c:v>
                </c:pt>
                <c:pt idx="11">
                  <c:v>0.85775529865125244</c:v>
                </c:pt>
                <c:pt idx="12">
                  <c:v>0.87135393508225878</c:v>
                </c:pt>
                <c:pt idx="13">
                  <c:v>0.89374907366236844</c:v>
                </c:pt>
                <c:pt idx="14">
                  <c:v>0.94108492663405952</c:v>
                </c:pt>
                <c:pt idx="15">
                  <c:v>0.95209722839780642</c:v>
                </c:pt>
                <c:pt idx="16">
                  <c:v>0.95832221728175482</c:v>
                </c:pt>
                <c:pt idx="17">
                  <c:v>0.9969986660738106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4F-384A-B42E-84360E00379F}"/>
            </c:ext>
          </c:extLst>
        </c:ser>
        <c:ser>
          <c:idx val="3"/>
          <c:order val="3"/>
          <c:tx>
            <c:v>walk</c:v>
          </c:tx>
          <c:spPr>
            <a:ln w="3175">
              <a:solidFill>
                <a:srgbClr val="FFFF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B!$O$5:$O$24</c:f>
              <c:numCache>
                <c:formatCode>0.00_)</c:formatCode>
                <c:ptCount val="20"/>
                <c:pt idx="0">
                  <c:v>0.27352858993573298</c:v>
                </c:pt>
                <c:pt idx="1">
                  <c:v>0.50664261945284128</c:v>
                </c:pt>
                <c:pt idx="2">
                  <c:v>0.74476084029771139</c:v>
                </c:pt>
                <c:pt idx="3">
                  <c:v>0.82355780222013375</c:v>
                </c:pt>
                <c:pt idx="4">
                  <c:v>0.85531028526430775</c:v>
                </c:pt>
                <c:pt idx="5">
                  <c:v>0.95508928798232029</c:v>
                </c:pt>
                <c:pt idx="6">
                  <c:v>0.96141438260471979</c:v>
                </c:pt>
                <c:pt idx="7">
                  <c:v>0.96537709248863268</c:v>
                </c:pt>
                <c:pt idx="8">
                  <c:v>0.98158355983437917</c:v>
                </c:pt>
                <c:pt idx="9">
                  <c:v>0.98425076841008974</c:v>
                </c:pt>
                <c:pt idx="10">
                  <c:v>0.98511443594889125</c:v>
                </c:pt>
                <c:pt idx="11">
                  <c:v>0.99712957553280668</c:v>
                </c:pt>
                <c:pt idx="12">
                  <c:v>0.99928874437981052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4F-384A-B42E-84360E003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379968"/>
        <c:axId val="1"/>
      </c:lineChart>
      <c:catAx>
        <c:axId val="1058379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8413793103448277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Frequency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391402714932126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37996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551724137931035"/>
          <c:y val="0.42760180995475111"/>
          <c:w val="6.8965517241379309E-2"/>
          <c:h val="0.147058823529411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1988 Cumulative Distribution by Mode</a:t>
            </a:r>
          </a:p>
        </c:rich>
      </c:tx>
      <c:layout>
        <c:manualLayout>
          <c:xMode val="edge"/>
          <c:yMode val="edge"/>
          <c:x val="0.3848275862068965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2217194570135746"/>
          <c:w val="0.80965517241379314"/>
          <c:h val="0.75791855203619907"/>
        </c:manualLayout>
      </c:layout>
      <c:lineChart>
        <c:grouping val="standard"/>
        <c:varyColors val="0"/>
        <c:ser>
          <c:idx val="0"/>
          <c:order val="0"/>
          <c:tx>
            <c:v>au1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A!$BD$7:$BD$24</c:f>
              <c:numCache>
                <c:formatCode>0.00_)</c:formatCode>
                <c:ptCount val="18"/>
                <c:pt idx="0">
                  <c:v>6.6282670107822766E-2</c:v>
                </c:pt>
                <c:pt idx="1">
                  <c:v>0.18321325429071822</c:v>
                </c:pt>
                <c:pt idx="2">
                  <c:v>0.33778059318281478</c:v>
                </c:pt>
                <c:pt idx="3">
                  <c:v>0.45917107805146673</c:v>
                </c:pt>
                <c:pt idx="4">
                  <c:v>0.540796874757977</c:v>
                </c:pt>
                <c:pt idx="5">
                  <c:v>0.69445567579780154</c:v>
                </c:pt>
                <c:pt idx="6">
                  <c:v>0.75212779992297996</c:v>
                </c:pt>
                <c:pt idx="7">
                  <c:v>0.80467664651788584</c:v>
                </c:pt>
                <c:pt idx="8">
                  <c:v>0.87035255648450871</c:v>
                </c:pt>
                <c:pt idx="9">
                  <c:v>0.90146236671706981</c:v>
                </c:pt>
                <c:pt idx="10">
                  <c:v>0.91647861197208269</c:v>
                </c:pt>
                <c:pt idx="11">
                  <c:v>0.9563463852638473</c:v>
                </c:pt>
                <c:pt idx="12">
                  <c:v>0.96607217347785201</c:v>
                </c:pt>
                <c:pt idx="13">
                  <c:v>0.97505072803205151</c:v>
                </c:pt>
                <c:pt idx="14">
                  <c:v>0.98804052260421882</c:v>
                </c:pt>
                <c:pt idx="15">
                  <c:v>0.99158440775990675</c:v>
                </c:pt>
                <c:pt idx="16">
                  <c:v>0.99295869811493087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E-754C-A8C3-B72F97D6C312}"/>
            </c:ext>
          </c:extLst>
        </c:ser>
        <c:ser>
          <c:idx val="1"/>
          <c:order val="1"/>
          <c:tx>
            <c:v>wct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A!$BK$7:$BK$24</c:f>
              <c:numCache>
                <c:formatCode>0.00_)</c:formatCode>
                <c:ptCount val="18"/>
                <c:pt idx="0">
                  <c:v>1.5941073498988337E-2</c:v>
                </c:pt>
                <c:pt idx="1">
                  <c:v>5.7085047855048081E-2</c:v>
                </c:pt>
                <c:pt idx="2">
                  <c:v>0.14149635119467116</c:v>
                </c:pt>
                <c:pt idx="3">
                  <c:v>0.27979175665537548</c:v>
                </c:pt>
                <c:pt idx="4">
                  <c:v>0.40222793097960763</c:v>
                </c:pt>
                <c:pt idx="5">
                  <c:v>0.51889876554436543</c:v>
                </c:pt>
                <c:pt idx="6">
                  <c:v>0.61036669925205178</c:v>
                </c:pt>
                <c:pt idx="7">
                  <c:v>0.69560097301475443</c:v>
                </c:pt>
                <c:pt idx="8">
                  <c:v>0.75868779412099041</c:v>
                </c:pt>
                <c:pt idx="9">
                  <c:v>0.80330552208607098</c:v>
                </c:pt>
                <c:pt idx="10">
                  <c:v>0.85562097892559175</c:v>
                </c:pt>
                <c:pt idx="11">
                  <c:v>0.90405347034351069</c:v>
                </c:pt>
                <c:pt idx="12">
                  <c:v>0.92907904608179703</c:v>
                </c:pt>
                <c:pt idx="13">
                  <c:v>0.94806192738763739</c:v>
                </c:pt>
                <c:pt idx="14">
                  <c:v>0.97088685293382149</c:v>
                </c:pt>
                <c:pt idx="15">
                  <c:v>0.98062609407324908</c:v>
                </c:pt>
                <c:pt idx="16">
                  <c:v>0.98997431059176588</c:v>
                </c:pt>
                <c:pt idx="17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6E-754C-A8C3-B72F97D6C312}"/>
            </c:ext>
          </c:extLst>
        </c:ser>
        <c:ser>
          <c:idx val="2"/>
          <c:order val="2"/>
          <c:tx>
            <c:v>adt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A!$BB$7:$BB$24</c:f>
              <c:numCache>
                <c:formatCode>0.00_)</c:formatCode>
                <c:ptCount val="18"/>
                <c:pt idx="0">
                  <c:v>6.1913794920434185E-3</c:v>
                </c:pt>
                <c:pt idx="1">
                  <c:v>1.8205290336178733E-2</c:v>
                </c:pt>
                <c:pt idx="2">
                  <c:v>5.398355991147645E-2</c:v>
                </c:pt>
                <c:pt idx="3">
                  <c:v>0.13576246179787121</c:v>
                </c:pt>
                <c:pt idx="4">
                  <c:v>0.16974918326483296</c:v>
                </c:pt>
                <c:pt idx="5">
                  <c:v>0.29816102855938453</c:v>
                </c:pt>
                <c:pt idx="6">
                  <c:v>0.39493097270523764</c:v>
                </c:pt>
                <c:pt idx="7">
                  <c:v>0.57384866687743696</c:v>
                </c:pt>
                <c:pt idx="8">
                  <c:v>0.70523764358731156</c:v>
                </c:pt>
                <c:pt idx="9">
                  <c:v>0.80933185794077345</c:v>
                </c:pt>
                <c:pt idx="10">
                  <c:v>0.84007798503530395</c:v>
                </c:pt>
                <c:pt idx="11">
                  <c:v>0.89021498577300018</c:v>
                </c:pt>
                <c:pt idx="12">
                  <c:v>0.93173674781325733</c:v>
                </c:pt>
                <c:pt idx="13">
                  <c:v>0.95328801770471061</c:v>
                </c:pt>
                <c:pt idx="14">
                  <c:v>0.96032247865950038</c:v>
                </c:pt>
                <c:pt idx="15">
                  <c:v>0.97807988196859508</c:v>
                </c:pt>
                <c:pt idx="16">
                  <c:v>0.99799768152597734</c:v>
                </c:pt>
                <c:pt idx="17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6E-754C-A8C3-B72F97D6C312}"/>
            </c:ext>
          </c:extLst>
        </c:ser>
        <c:ser>
          <c:idx val="3"/>
          <c:order val="3"/>
          <c:tx>
            <c:v>walk</c:v>
          </c:tx>
          <c:spPr>
            <a:ln w="3175">
              <a:solidFill>
                <a:srgbClr val="FFFF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A!$BJ$7:$BJ$24</c:f>
              <c:numCache>
                <c:formatCode>0.00_)</c:formatCode>
                <c:ptCount val="18"/>
                <c:pt idx="0">
                  <c:v>0.25594896281554086</c:v>
                </c:pt>
                <c:pt idx="1">
                  <c:v>0.47263673764778991</c:v>
                </c:pt>
                <c:pt idx="2">
                  <c:v>0.69729317275394687</c:v>
                </c:pt>
                <c:pt idx="3">
                  <c:v>0.78597893378853545</c:v>
                </c:pt>
                <c:pt idx="4">
                  <c:v>0.83835340575662931</c:v>
                </c:pt>
                <c:pt idx="5">
                  <c:v>0.92890350290663359</c:v>
                </c:pt>
                <c:pt idx="6">
                  <c:v>0.94716141060232983</c:v>
                </c:pt>
                <c:pt idx="7">
                  <c:v>0.95580658102782323</c:v>
                </c:pt>
                <c:pt idx="8">
                  <c:v>0.97832807595793025</c:v>
                </c:pt>
                <c:pt idx="9">
                  <c:v>0.9842750721741933</c:v>
                </c:pt>
                <c:pt idx="10">
                  <c:v>0.9842750721741933</c:v>
                </c:pt>
                <c:pt idx="11">
                  <c:v>0.9919369429607543</c:v>
                </c:pt>
                <c:pt idx="12">
                  <c:v>0.9957678783540348</c:v>
                </c:pt>
                <c:pt idx="13">
                  <c:v>0.9968141091698588</c:v>
                </c:pt>
                <c:pt idx="14">
                  <c:v>0.99999999999999967</c:v>
                </c:pt>
                <c:pt idx="15">
                  <c:v>0.99999999999999967</c:v>
                </c:pt>
                <c:pt idx="16">
                  <c:v>0.99999999999999967</c:v>
                </c:pt>
                <c:pt idx="17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6E-754C-A8C3-B72F97D6C312}"/>
            </c:ext>
          </c:extLst>
        </c:ser>
        <c:ser>
          <c:idx val="4"/>
          <c:order val="4"/>
          <c:tx>
            <c:v>APT</c:v>
          </c:tx>
          <c:spPr>
            <a:ln w="3175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A!$BC$7:$BC$24</c:f>
              <c:numCache>
                <c:formatCode>0.00_)</c:formatCode>
                <c:ptCount val="18"/>
                <c:pt idx="0">
                  <c:v>1.6566840830890786E-2</c:v>
                </c:pt>
                <c:pt idx="1">
                  <c:v>5.4543137504778898E-2</c:v>
                </c:pt>
                <c:pt idx="2">
                  <c:v>0.15275476827662376</c:v>
                </c:pt>
                <c:pt idx="3">
                  <c:v>0.2093793806550274</c:v>
                </c:pt>
                <c:pt idx="4">
                  <c:v>0.26260566670914576</c:v>
                </c:pt>
                <c:pt idx="5">
                  <c:v>0.40758676351896694</c:v>
                </c:pt>
                <c:pt idx="6">
                  <c:v>0.53383458646616544</c:v>
                </c:pt>
                <c:pt idx="7">
                  <c:v>0.6845078798691645</c:v>
                </c:pt>
                <c:pt idx="8">
                  <c:v>0.78178497090183097</c:v>
                </c:pt>
                <c:pt idx="9">
                  <c:v>0.81028843294677388</c:v>
                </c:pt>
                <c:pt idx="10">
                  <c:v>0.84342211460855543</c:v>
                </c:pt>
                <c:pt idx="11">
                  <c:v>0.89788029395522717</c:v>
                </c:pt>
                <c:pt idx="12">
                  <c:v>0.94273820143579301</c:v>
                </c:pt>
                <c:pt idx="13">
                  <c:v>0.97030712374155748</c:v>
                </c:pt>
                <c:pt idx="14">
                  <c:v>0.99307591011426888</c:v>
                </c:pt>
                <c:pt idx="15">
                  <c:v>1.0000000000000002</c:v>
                </c:pt>
                <c:pt idx="16">
                  <c:v>1.0000000000000002</c:v>
                </c:pt>
                <c:pt idx="17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6E-754C-A8C3-B72F97D6C312}"/>
            </c:ext>
          </c:extLst>
        </c:ser>
        <c:ser>
          <c:idx val="5"/>
          <c:order val="5"/>
          <c:tx>
            <c:v>AUPASS</c:v>
          </c:tx>
          <c:spPr>
            <a:ln w="3175">
              <a:solidFill>
                <a:srgbClr val="00FFFF"/>
              </a:solidFill>
              <a:prstDash val="solid"/>
            </a:ln>
          </c:spPr>
          <c:marker>
            <c:symbol val="triangle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A!$BG$7:$BG$24</c:f>
              <c:numCache>
                <c:formatCode>0.00_)</c:formatCode>
                <c:ptCount val="18"/>
                <c:pt idx="0">
                  <c:v>6.4116859530637588E-2</c:v>
                </c:pt>
                <c:pt idx="1">
                  <c:v>0.16213998829017978</c:v>
                </c:pt>
                <c:pt idx="2">
                  <c:v>0.29651203985813962</c:v>
                </c:pt>
                <c:pt idx="3">
                  <c:v>0.39507217948096407</c:v>
                </c:pt>
                <c:pt idx="4">
                  <c:v>0.47180133581452238</c:v>
                </c:pt>
                <c:pt idx="5">
                  <c:v>0.59994182382314443</c:v>
                </c:pt>
                <c:pt idx="6">
                  <c:v>0.67231895461885283</c:v>
                </c:pt>
                <c:pt idx="7">
                  <c:v>0.75060693415277213</c:v>
                </c:pt>
                <c:pt idx="8">
                  <c:v>0.82998758162378661</c:v>
                </c:pt>
                <c:pt idx="9">
                  <c:v>0.87500326308684284</c:v>
                </c:pt>
                <c:pt idx="10">
                  <c:v>0.8914156575959068</c:v>
                </c:pt>
                <c:pt idx="11">
                  <c:v>0.95199719560993623</c:v>
                </c:pt>
                <c:pt idx="12">
                  <c:v>0.96032086399081118</c:v>
                </c:pt>
                <c:pt idx="13">
                  <c:v>0.97005418588780201</c:v>
                </c:pt>
                <c:pt idx="14">
                  <c:v>0.98051470999548762</c:v>
                </c:pt>
                <c:pt idx="15">
                  <c:v>0.98348318671196455</c:v>
                </c:pt>
                <c:pt idx="16">
                  <c:v>0.98699613277593601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C6E-754C-A8C3-B72F97D6C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440160"/>
        <c:axId val="1"/>
      </c:lineChart>
      <c:catAx>
        <c:axId val="1058440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7448275862068967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Frequency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391402714932126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440160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58620689655167"/>
          <c:y val="0.39140271493212669"/>
          <c:w val="8.6896551724137933E-2"/>
          <c:h val="0.219457013574660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1988 Distribution by Mode: NonWork</a:t>
            </a:r>
          </a:p>
        </c:rich>
      </c:tx>
      <c:layout>
        <c:manualLayout>
          <c:xMode val="edge"/>
          <c:yMode val="edge"/>
          <c:x val="0.3889655172413792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2217194570135746"/>
          <c:w val="0.82068965517241377"/>
          <c:h val="0.75791855203619907"/>
        </c:manualLayout>
      </c:layout>
      <c:lineChart>
        <c:grouping val="standard"/>
        <c:varyColors val="0"/>
        <c:ser>
          <c:idx val="0"/>
          <c:order val="0"/>
          <c:tx>
            <c:v>AU1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A!$BB$54:$BB$71</c:f>
              <c:numCache>
                <c:formatCode>0.00_)</c:formatCode>
                <c:ptCount val="18"/>
                <c:pt idx="0">
                  <c:v>0.57665582522732839</c:v>
                </c:pt>
                <c:pt idx="1">
                  <c:v>0.79172533322908478</c:v>
                </c:pt>
                <c:pt idx="2">
                  <c:v>0.8910779333162534</c:v>
                </c:pt>
                <c:pt idx="3">
                  <c:v>0.93582444629568196</c:v>
                </c:pt>
                <c:pt idx="4">
                  <c:v>0.95330325469661081</c:v>
                </c:pt>
                <c:pt idx="5">
                  <c:v>0.97734291481465763</c:v>
                </c:pt>
                <c:pt idx="6">
                  <c:v>0.98321789227291623</c:v>
                </c:pt>
                <c:pt idx="7">
                  <c:v>0.98891315555971848</c:v>
                </c:pt>
                <c:pt idx="8">
                  <c:v>0.9936547534090131</c:v>
                </c:pt>
                <c:pt idx="9">
                  <c:v>0.99567432661755872</c:v>
                </c:pt>
                <c:pt idx="10">
                  <c:v>0.996380161232575</c:v>
                </c:pt>
                <c:pt idx="11">
                  <c:v>0.99826565291370406</c:v>
                </c:pt>
                <c:pt idx="12">
                  <c:v>0.9987675948693272</c:v>
                </c:pt>
                <c:pt idx="13">
                  <c:v>0.99896734512048446</c:v>
                </c:pt>
                <c:pt idx="14">
                  <c:v>0.99934853100168908</c:v>
                </c:pt>
                <c:pt idx="15">
                  <c:v>0.99959086846725664</c:v>
                </c:pt>
                <c:pt idx="16">
                  <c:v>0.99962514229120591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9540-9FBD-2BC105372686}"/>
            </c:ext>
          </c:extLst>
        </c:ser>
        <c:ser>
          <c:idx val="1"/>
          <c:order val="1"/>
          <c:tx>
            <c:v>AU2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A!$BC$54:$BC$71</c:f>
              <c:numCache>
                <c:formatCode>0.00_)</c:formatCode>
                <c:ptCount val="18"/>
                <c:pt idx="0">
                  <c:v>0.57080414445723215</c:v>
                </c:pt>
                <c:pt idx="1">
                  <c:v>0.7795952666247985</c:v>
                </c:pt>
                <c:pt idx="2">
                  <c:v>0.8937984512591951</c:v>
                </c:pt>
                <c:pt idx="3">
                  <c:v>0.94023849799380321</c:v>
                </c:pt>
                <c:pt idx="4">
                  <c:v>0.95739047290929336</c:v>
                </c:pt>
                <c:pt idx="5">
                  <c:v>0.97950037700723069</c:v>
                </c:pt>
                <c:pt idx="6">
                  <c:v>0.98479600849530891</c:v>
                </c:pt>
                <c:pt idx="7">
                  <c:v>0.98959229214937616</c:v>
                </c:pt>
                <c:pt idx="8">
                  <c:v>0.99279900451611014</c:v>
                </c:pt>
                <c:pt idx="9">
                  <c:v>0.99529576410053888</c:v>
                </c:pt>
                <c:pt idx="10">
                  <c:v>0.99619042111999578</c:v>
                </c:pt>
                <c:pt idx="11">
                  <c:v>0.99799547292941559</c:v>
                </c:pt>
                <c:pt idx="12">
                  <c:v>0.99828016403024467</c:v>
                </c:pt>
                <c:pt idx="13">
                  <c:v>0.99875064333106967</c:v>
                </c:pt>
                <c:pt idx="14">
                  <c:v>0.99931608206700495</c:v>
                </c:pt>
                <c:pt idx="15">
                  <c:v>0.99963021236106198</c:v>
                </c:pt>
                <c:pt idx="16">
                  <c:v>0.99969140815850621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9540-9FBD-2BC105372686}"/>
            </c:ext>
          </c:extLst>
        </c:ser>
        <c:ser>
          <c:idx val="2"/>
          <c:order val="2"/>
          <c:tx>
            <c:v>TRN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A!$BD$54:$BD$71</c:f>
              <c:numCache>
                <c:formatCode>0.00_)</c:formatCode>
                <c:ptCount val="18"/>
                <c:pt idx="0">
                  <c:v>0.43597552773618442</c:v>
                </c:pt>
                <c:pt idx="1">
                  <c:v>0.62154459851620136</c:v>
                </c:pt>
                <c:pt idx="2">
                  <c:v>0.73192785301116503</c:v>
                </c:pt>
                <c:pt idx="3">
                  <c:v>0.80800493620448077</c:v>
                </c:pt>
                <c:pt idx="4">
                  <c:v>0.84921884852663154</c:v>
                </c:pt>
                <c:pt idx="5">
                  <c:v>0.89945112711361785</c:v>
                </c:pt>
                <c:pt idx="6">
                  <c:v>0.92096531348279143</c:v>
                </c:pt>
                <c:pt idx="7">
                  <c:v>0.93311655651875969</c:v>
                </c:pt>
                <c:pt idx="8">
                  <c:v>0.95279385463191191</c:v>
                </c:pt>
                <c:pt idx="9">
                  <c:v>0.95872789593867391</c:v>
                </c:pt>
                <c:pt idx="10">
                  <c:v>0.96907531209204967</c:v>
                </c:pt>
                <c:pt idx="11">
                  <c:v>0.98333240850259751</c:v>
                </c:pt>
                <c:pt idx="12">
                  <c:v>0.9866370923563047</c:v>
                </c:pt>
                <c:pt idx="13">
                  <c:v>0.99276870675172613</c:v>
                </c:pt>
                <c:pt idx="14">
                  <c:v>0.99688781367034007</c:v>
                </c:pt>
                <c:pt idx="15">
                  <c:v>0.99832337844716257</c:v>
                </c:pt>
                <c:pt idx="16">
                  <c:v>0.99907831442592654</c:v>
                </c:pt>
                <c:pt idx="17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9540-9FBD-2BC105372686}"/>
            </c:ext>
          </c:extLst>
        </c:ser>
        <c:ser>
          <c:idx val="3"/>
          <c:order val="3"/>
          <c:tx>
            <c:v>WALK</c:v>
          </c:tx>
          <c:spPr>
            <a:ln w="3175">
              <a:solidFill>
                <a:srgbClr val="FFFF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A!$BE$54:$BE$71</c:f>
              <c:numCache>
                <c:formatCode>0.00_)</c:formatCode>
                <c:ptCount val="18"/>
                <c:pt idx="0">
                  <c:v>0.69289409023237358</c:v>
                </c:pt>
                <c:pt idx="1">
                  <c:v>0.85327782489514248</c:v>
                </c:pt>
                <c:pt idx="2">
                  <c:v>0.95006687839735893</c:v>
                </c:pt>
                <c:pt idx="3">
                  <c:v>0.97770935194109954</c:v>
                </c:pt>
                <c:pt idx="4">
                  <c:v>0.98460287144909842</c:v>
                </c:pt>
                <c:pt idx="5">
                  <c:v>0.99776526708048641</c:v>
                </c:pt>
                <c:pt idx="6">
                  <c:v>0.99902376093782552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9540-9FBD-2BC105372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489024"/>
        <c:axId val="1"/>
      </c:lineChart>
      <c:catAx>
        <c:axId val="105848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7034482758620688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39366515837104071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489024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862068965517241"/>
          <c:y val="0.42760180995475111"/>
          <c:w val="7.586206896551724E-2"/>
          <c:h val="0.147058823529411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1988 Distribution by Mode</a:t>
            </a:r>
          </a:p>
        </c:rich>
      </c:tx>
      <c:layout>
        <c:manualLayout>
          <c:xMode val="edge"/>
          <c:yMode val="edge"/>
          <c:x val="0.41931034482758622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2217194570135746"/>
          <c:w val="0.82344827586206892"/>
          <c:h val="0.75791855203619907"/>
        </c:manualLayout>
      </c:layout>
      <c:lineChart>
        <c:grouping val="standard"/>
        <c:varyColors val="0"/>
        <c:ser>
          <c:idx val="0"/>
          <c:order val="0"/>
          <c:tx>
            <c:v>AU1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A!$BD$7:$BD$24</c:f>
              <c:numCache>
                <c:formatCode>0.00_)</c:formatCode>
                <c:ptCount val="18"/>
                <c:pt idx="0">
                  <c:v>6.6282670107822766E-2</c:v>
                </c:pt>
                <c:pt idx="1">
                  <c:v>0.18321325429071822</c:v>
                </c:pt>
                <c:pt idx="2">
                  <c:v>0.33778059318281478</c:v>
                </c:pt>
                <c:pt idx="3">
                  <c:v>0.45917107805146673</c:v>
                </c:pt>
                <c:pt idx="4">
                  <c:v>0.540796874757977</c:v>
                </c:pt>
                <c:pt idx="5">
                  <c:v>0.69445567579780154</c:v>
                </c:pt>
                <c:pt idx="6">
                  <c:v>0.75212779992297996</c:v>
                </c:pt>
                <c:pt idx="7">
                  <c:v>0.80467664651788584</c:v>
                </c:pt>
                <c:pt idx="8">
                  <c:v>0.87035255648450871</c:v>
                </c:pt>
                <c:pt idx="9">
                  <c:v>0.90146236671706981</c:v>
                </c:pt>
                <c:pt idx="10">
                  <c:v>0.91647861197208269</c:v>
                </c:pt>
                <c:pt idx="11">
                  <c:v>0.9563463852638473</c:v>
                </c:pt>
                <c:pt idx="12">
                  <c:v>0.96607217347785201</c:v>
                </c:pt>
                <c:pt idx="13">
                  <c:v>0.97505072803205151</c:v>
                </c:pt>
                <c:pt idx="14">
                  <c:v>0.98804052260421882</c:v>
                </c:pt>
                <c:pt idx="15">
                  <c:v>0.99158440775990675</c:v>
                </c:pt>
                <c:pt idx="16">
                  <c:v>0.99295869811493087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F-5A49-B334-04A9A220CFA7}"/>
            </c:ext>
          </c:extLst>
        </c:ser>
        <c:ser>
          <c:idx val="1"/>
          <c:order val="1"/>
          <c:tx>
            <c:v>AUD2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A!$BE$7:$BE$24</c:f>
              <c:numCache>
                <c:formatCode>0.00_)</c:formatCode>
                <c:ptCount val="18"/>
                <c:pt idx="0">
                  <c:v>6.5601169957171204E-2</c:v>
                </c:pt>
                <c:pt idx="1">
                  <c:v>0.17255127267662523</c:v>
                </c:pt>
                <c:pt idx="2">
                  <c:v>0.29138085123669577</c:v>
                </c:pt>
                <c:pt idx="3">
                  <c:v>0.40077416808848959</c:v>
                </c:pt>
                <c:pt idx="4">
                  <c:v>0.48488224984621098</c:v>
                </c:pt>
                <c:pt idx="5">
                  <c:v>0.65052752533166192</c:v>
                </c:pt>
                <c:pt idx="6">
                  <c:v>0.7113351207679004</c:v>
                </c:pt>
                <c:pt idx="7">
                  <c:v>0.77215432292210728</c:v>
                </c:pt>
                <c:pt idx="8">
                  <c:v>0.85816010306765556</c:v>
                </c:pt>
                <c:pt idx="9">
                  <c:v>0.88502385180542498</c:v>
                </c:pt>
                <c:pt idx="10">
                  <c:v>0.90678064463711594</c:v>
                </c:pt>
                <c:pt idx="11">
                  <c:v>0.94814698747635129</c:v>
                </c:pt>
                <c:pt idx="12">
                  <c:v>0.96496512181250504</c:v>
                </c:pt>
                <c:pt idx="13">
                  <c:v>0.97430272641805071</c:v>
                </c:pt>
                <c:pt idx="14">
                  <c:v>0.98356488735680203</c:v>
                </c:pt>
                <c:pt idx="15">
                  <c:v>0.98574695033485371</c:v>
                </c:pt>
                <c:pt idx="16">
                  <c:v>0.98976867811089053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5A49-B334-04A9A220CFA7}"/>
            </c:ext>
          </c:extLst>
        </c:ser>
        <c:ser>
          <c:idx val="2"/>
          <c:order val="2"/>
          <c:tx>
            <c:v>AUD3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A!$BF$7:$BF$24</c:f>
              <c:numCache>
                <c:formatCode>0.00_)</c:formatCode>
                <c:ptCount val="18"/>
                <c:pt idx="0">
                  <c:v>5.3441641727233861E-2</c:v>
                </c:pt>
                <c:pt idx="1">
                  <c:v>0.13939054414648169</c:v>
                </c:pt>
                <c:pt idx="2">
                  <c:v>0.24686352847518095</c:v>
                </c:pt>
                <c:pt idx="3">
                  <c:v>0.32312659403517563</c:v>
                </c:pt>
                <c:pt idx="4">
                  <c:v>0.38066665683831874</c:v>
                </c:pt>
                <c:pt idx="5">
                  <c:v>0.52750217452197368</c:v>
                </c:pt>
                <c:pt idx="6">
                  <c:v>0.59835473456089394</c:v>
                </c:pt>
                <c:pt idx="7">
                  <c:v>0.65391929943536131</c:v>
                </c:pt>
                <c:pt idx="8">
                  <c:v>0.74667924695198351</c:v>
                </c:pt>
                <c:pt idx="9">
                  <c:v>0.78944730285562636</c:v>
                </c:pt>
                <c:pt idx="10">
                  <c:v>0.82484409783137491</c:v>
                </c:pt>
                <c:pt idx="11">
                  <c:v>0.87942091374150455</c:v>
                </c:pt>
                <c:pt idx="12">
                  <c:v>0.90504341672686528</c:v>
                </c:pt>
                <c:pt idx="13">
                  <c:v>0.93006147631613867</c:v>
                </c:pt>
                <c:pt idx="14">
                  <c:v>0.96311421031681688</c:v>
                </c:pt>
                <c:pt idx="15">
                  <c:v>0.96591528946941674</c:v>
                </c:pt>
                <c:pt idx="16">
                  <c:v>0.97235777152039637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CF-5A49-B334-04A9A220CFA7}"/>
            </c:ext>
          </c:extLst>
        </c:ser>
        <c:ser>
          <c:idx val="3"/>
          <c:order val="3"/>
          <c:tx>
            <c:v>AUPX</c:v>
          </c:tx>
          <c:spPr>
            <a:ln w="3175">
              <a:solidFill>
                <a:srgbClr val="FFFF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A!$BG$7:$BG$24</c:f>
              <c:numCache>
                <c:formatCode>0.00_)</c:formatCode>
                <c:ptCount val="18"/>
                <c:pt idx="0">
                  <c:v>6.4116859530637588E-2</c:v>
                </c:pt>
                <c:pt idx="1">
                  <c:v>0.16213998829017978</c:v>
                </c:pt>
                <c:pt idx="2">
                  <c:v>0.29651203985813962</c:v>
                </c:pt>
                <c:pt idx="3">
                  <c:v>0.39507217948096407</c:v>
                </c:pt>
                <c:pt idx="4">
                  <c:v>0.47180133581452238</c:v>
                </c:pt>
                <c:pt idx="5">
                  <c:v>0.59994182382314443</c:v>
                </c:pt>
                <c:pt idx="6">
                  <c:v>0.67231895461885283</c:v>
                </c:pt>
                <c:pt idx="7">
                  <c:v>0.75060693415277213</c:v>
                </c:pt>
                <c:pt idx="8">
                  <c:v>0.82998758162378661</c:v>
                </c:pt>
                <c:pt idx="9">
                  <c:v>0.87500326308684284</c:v>
                </c:pt>
                <c:pt idx="10">
                  <c:v>0.8914156575959068</c:v>
                </c:pt>
                <c:pt idx="11">
                  <c:v>0.95199719560993623</c:v>
                </c:pt>
                <c:pt idx="12">
                  <c:v>0.96032086399081118</c:v>
                </c:pt>
                <c:pt idx="13">
                  <c:v>0.97005418588780201</c:v>
                </c:pt>
                <c:pt idx="14">
                  <c:v>0.98051470999548762</c:v>
                </c:pt>
                <c:pt idx="15">
                  <c:v>0.98348318671196455</c:v>
                </c:pt>
                <c:pt idx="16">
                  <c:v>0.98699613277593601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CF-5A49-B334-04A9A220CFA7}"/>
            </c:ext>
          </c:extLst>
        </c:ser>
        <c:ser>
          <c:idx val="4"/>
          <c:order val="4"/>
          <c:tx>
            <c:v>ADT</c:v>
          </c:tx>
          <c:spPr>
            <a:ln w="3175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A!$BB$7:$BB$24</c:f>
              <c:numCache>
                <c:formatCode>0.00_)</c:formatCode>
                <c:ptCount val="18"/>
                <c:pt idx="0">
                  <c:v>6.1913794920434185E-3</c:v>
                </c:pt>
                <c:pt idx="1">
                  <c:v>1.8205290336178733E-2</c:v>
                </c:pt>
                <c:pt idx="2">
                  <c:v>5.398355991147645E-2</c:v>
                </c:pt>
                <c:pt idx="3">
                  <c:v>0.13576246179787121</c:v>
                </c:pt>
                <c:pt idx="4">
                  <c:v>0.16974918326483296</c:v>
                </c:pt>
                <c:pt idx="5">
                  <c:v>0.29816102855938453</c:v>
                </c:pt>
                <c:pt idx="6">
                  <c:v>0.39493097270523764</c:v>
                </c:pt>
                <c:pt idx="7">
                  <c:v>0.57384866687743696</c:v>
                </c:pt>
                <c:pt idx="8">
                  <c:v>0.70523764358731156</c:v>
                </c:pt>
                <c:pt idx="9">
                  <c:v>0.80933185794077345</c:v>
                </c:pt>
                <c:pt idx="10">
                  <c:v>0.84007798503530395</c:v>
                </c:pt>
                <c:pt idx="11">
                  <c:v>0.89021498577300018</c:v>
                </c:pt>
                <c:pt idx="12">
                  <c:v>0.93173674781325733</c:v>
                </c:pt>
                <c:pt idx="13">
                  <c:v>0.95328801770471061</c:v>
                </c:pt>
                <c:pt idx="14">
                  <c:v>0.96032247865950038</c:v>
                </c:pt>
                <c:pt idx="15">
                  <c:v>0.97807988196859508</c:v>
                </c:pt>
                <c:pt idx="16">
                  <c:v>0.99799768152597734</c:v>
                </c:pt>
                <c:pt idx="17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CF-5A49-B334-04A9A220CFA7}"/>
            </c:ext>
          </c:extLst>
        </c:ser>
        <c:ser>
          <c:idx val="5"/>
          <c:order val="5"/>
          <c:tx>
            <c:v>APT</c:v>
          </c:tx>
          <c:spPr>
            <a:ln w="3175">
              <a:solidFill>
                <a:srgbClr val="00FFFF"/>
              </a:solidFill>
              <a:prstDash val="solid"/>
            </a:ln>
          </c:spPr>
          <c:marker>
            <c:symbol val="triangle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A!$BC$7:$BC$24</c:f>
              <c:numCache>
                <c:formatCode>0.00_)</c:formatCode>
                <c:ptCount val="18"/>
                <c:pt idx="0">
                  <c:v>1.6566840830890786E-2</c:v>
                </c:pt>
                <c:pt idx="1">
                  <c:v>5.4543137504778898E-2</c:v>
                </c:pt>
                <c:pt idx="2">
                  <c:v>0.15275476827662376</c:v>
                </c:pt>
                <c:pt idx="3">
                  <c:v>0.2093793806550274</c:v>
                </c:pt>
                <c:pt idx="4">
                  <c:v>0.26260566670914576</c:v>
                </c:pt>
                <c:pt idx="5">
                  <c:v>0.40758676351896694</c:v>
                </c:pt>
                <c:pt idx="6">
                  <c:v>0.53383458646616544</c:v>
                </c:pt>
                <c:pt idx="7">
                  <c:v>0.6845078798691645</c:v>
                </c:pt>
                <c:pt idx="8">
                  <c:v>0.78178497090183097</c:v>
                </c:pt>
                <c:pt idx="9">
                  <c:v>0.81028843294677388</c:v>
                </c:pt>
                <c:pt idx="10">
                  <c:v>0.84342211460855543</c:v>
                </c:pt>
                <c:pt idx="11">
                  <c:v>0.89788029395522717</c:v>
                </c:pt>
                <c:pt idx="12">
                  <c:v>0.94273820143579301</c:v>
                </c:pt>
                <c:pt idx="13">
                  <c:v>0.97030712374155748</c:v>
                </c:pt>
                <c:pt idx="14">
                  <c:v>0.99307591011426888</c:v>
                </c:pt>
                <c:pt idx="15">
                  <c:v>1.0000000000000002</c:v>
                </c:pt>
                <c:pt idx="16">
                  <c:v>1.0000000000000002</c:v>
                </c:pt>
                <c:pt idx="17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CF-5A49-B334-04A9A220C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285856"/>
        <c:axId val="1"/>
      </c:lineChart>
      <c:catAx>
        <c:axId val="105828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7172413793103446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39366515837104071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28585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137931034482756"/>
          <c:y val="0.39140271493212669"/>
          <c:w val="7.3103448275862071E-2"/>
          <c:h val="0.219457013574660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Cumulative Distribution of Travel Times
1988 Home to Work Trips by Mode</a:t>
            </a:r>
          </a:p>
        </c:rich>
      </c:tx>
      <c:layout>
        <c:manualLayout>
          <c:xMode val="edge"/>
          <c:yMode val="edge"/>
          <c:x val="0.38068965517241377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5158371040723981"/>
          <c:w val="0.76689655172413795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Drive Alone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A!$BD$7:$BD$24</c:f>
              <c:numCache>
                <c:formatCode>0.00_)</c:formatCode>
                <c:ptCount val="18"/>
                <c:pt idx="0">
                  <c:v>6.6282670107822766E-2</c:v>
                </c:pt>
                <c:pt idx="1">
                  <c:v>0.18321325429071822</c:v>
                </c:pt>
                <c:pt idx="2">
                  <c:v>0.33778059318281478</c:v>
                </c:pt>
                <c:pt idx="3">
                  <c:v>0.45917107805146673</c:v>
                </c:pt>
                <c:pt idx="4">
                  <c:v>0.540796874757977</c:v>
                </c:pt>
                <c:pt idx="5">
                  <c:v>0.69445567579780154</c:v>
                </c:pt>
                <c:pt idx="6">
                  <c:v>0.75212779992297996</c:v>
                </c:pt>
                <c:pt idx="7">
                  <c:v>0.80467664651788584</c:v>
                </c:pt>
                <c:pt idx="8">
                  <c:v>0.87035255648450871</c:v>
                </c:pt>
                <c:pt idx="9">
                  <c:v>0.90146236671706981</c:v>
                </c:pt>
                <c:pt idx="10">
                  <c:v>0.91647861197208269</c:v>
                </c:pt>
                <c:pt idx="11">
                  <c:v>0.9563463852638473</c:v>
                </c:pt>
                <c:pt idx="12">
                  <c:v>0.96607217347785201</c:v>
                </c:pt>
                <c:pt idx="13">
                  <c:v>0.97505072803205151</c:v>
                </c:pt>
                <c:pt idx="14">
                  <c:v>0.98804052260421882</c:v>
                </c:pt>
                <c:pt idx="15">
                  <c:v>0.99158440775990675</c:v>
                </c:pt>
                <c:pt idx="16">
                  <c:v>0.99295869811493087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87-EE47-A780-36B961870C15}"/>
            </c:ext>
          </c:extLst>
        </c:ser>
        <c:ser>
          <c:idx val="1"/>
          <c:order val="1"/>
          <c:tx>
            <c:v>Carpool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A!$BL$7:$BL$24</c:f>
              <c:numCache>
                <c:formatCode>0.00_)</c:formatCode>
                <c:ptCount val="18"/>
                <c:pt idx="0">
                  <c:v>6.319546091253915E-2</c:v>
                </c:pt>
                <c:pt idx="1">
                  <c:v>0.16263358358122038</c:v>
                </c:pt>
                <c:pt idx="2">
                  <c:v>0.28814706391551381</c:v>
                </c:pt>
                <c:pt idx="3">
                  <c:v>0.38740418968475065</c:v>
                </c:pt>
                <c:pt idx="4">
                  <c:v>0.46407408281788565</c:v>
                </c:pt>
                <c:pt idx="5">
                  <c:v>0.60742362717786491</c:v>
                </c:pt>
                <c:pt idx="6">
                  <c:v>0.67567519712923185</c:v>
                </c:pt>
                <c:pt idx="7">
                  <c:v>0.74500881376205996</c:v>
                </c:pt>
                <c:pt idx="8">
                  <c:v>0.82842084139949956</c:v>
                </c:pt>
                <c:pt idx="9">
                  <c:v>0.86698301776917397</c:v>
                </c:pt>
                <c:pt idx="10">
                  <c:v>0.88774060783480502</c:v>
                </c:pt>
                <c:pt idx="11">
                  <c:v>0.94100681492673566</c:v>
                </c:pt>
                <c:pt idx="12">
                  <c:v>0.95451862694178202</c:v>
                </c:pt>
                <c:pt idx="13">
                  <c:v>0.96615751451909915</c:v>
                </c:pt>
                <c:pt idx="14">
                  <c:v>0.97922667107354777</c:v>
                </c:pt>
                <c:pt idx="15">
                  <c:v>0.98190621212836626</c:v>
                </c:pt>
                <c:pt idx="16">
                  <c:v>0.98598257708107095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87-EE47-A780-36B961870C15}"/>
            </c:ext>
          </c:extLst>
        </c:ser>
        <c:ser>
          <c:idx val="2"/>
          <c:order val="2"/>
          <c:tx>
            <c:v>Walk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A!$BJ$7:$BJ$24</c:f>
              <c:numCache>
                <c:formatCode>0.00_)</c:formatCode>
                <c:ptCount val="18"/>
                <c:pt idx="0">
                  <c:v>0.25594896281554086</c:v>
                </c:pt>
                <c:pt idx="1">
                  <c:v>0.47263673764778991</c:v>
                </c:pt>
                <c:pt idx="2">
                  <c:v>0.69729317275394687</c:v>
                </c:pt>
                <c:pt idx="3">
                  <c:v>0.78597893378853545</c:v>
                </c:pt>
                <c:pt idx="4">
                  <c:v>0.83835340575662931</c:v>
                </c:pt>
                <c:pt idx="5">
                  <c:v>0.92890350290663359</c:v>
                </c:pt>
                <c:pt idx="6">
                  <c:v>0.94716141060232983</c:v>
                </c:pt>
                <c:pt idx="7">
                  <c:v>0.95580658102782323</c:v>
                </c:pt>
                <c:pt idx="8">
                  <c:v>0.97832807595793025</c:v>
                </c:pt>
                <c:pt idx="9">
                  <c:v>0.9842750721741933</c:v>
                </c:pt>
                <c:pt idx="10">
                  <c:v>0.9842750721741933</c:v>
                </c:pt>
                <c:pt idx="11">
                  <c:v>0.9919369429607543</c:v>
                </c:pt>
                <c:pt idx="12">
                  <c:v>0.9957678783540348</c:v>
                </c:pt>
                <c:pt idx="13">
                  <c:v>0.9968141091698588</c:v>
                </c:pt>
                <c:pt idx="14">
                  <c:v>0.99999999999999967</c:v>
                </c:pt>
                <c:pt idx="15">
                  <c:v>0.99999999999999967</c:v>
                </c:pt>
                <c:pt idx="16">
                  <c:v>0.99999999999999967</c:v>
                </c:pt>
                <c:pt idx="17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87-EE47-A780-36B961870C15}"/>
            </c:ext>
          </c:extLst>
        </c:ser>
        <c:ser>
          <c:idx val="3"/>
          <c:order val="3"/>
          <c:tx>
            <c:v>Walk to Transit</c:v>
          </c:tx>
          <c:spPr>
            <a:ln w="3175">
              <a:solidFill>
                <a:srgbClr val="FFFF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A!$BM$7:$BM$24</c:f>
              <c:numCache>
                <c:formatCode>0.00_)</c:formatCode>
                <c:ptCount val="18"/>
                <c:pt idx="0">
                  <c:v>2.8423612072057316E-2</c:v>
                </c:pt>
                <c:pt idx="1">
                  <c:v>7.7756158449282284E-2</c:v>
                </c:pt>
                <c:pt idx="2">
                  <c:v>0.1618776245598082</c:v>
                </c:pt>
                <c:pt idx="3">
                  <c:v>0.26851488391926737</c:v>
                </c:pt>
                <c:pt idx="4">
                  <c:v>0.39787126490015734</c:v>
                </c:pt>
                <c:pt idx="5">
                  <c:v>0.49596308460437105</c:v>
                </c:pt>
                <c:pt idx="6">
                  <c:v>0.58240870697275127</c:v>
                </c:pt>
                <c:pt idx="7">
                  <c:v>0.67171222257679186</c:v>
                </c:pt>
                <c:pt idx="8">
                  <c:v>0.74168542276769456</c:v>
                </c:pt>
                <c:pt idx="9">
                  <c:v>0.78603924802390246</c:v>
                </c:pt>
                <c:pt idx="10">
                  <c:v>0.85596161612168076</c:v>
                </c:pt>
                <c:pt idx="11">
                  <c:v>0.89660752258498144</c:v>
                </c:pt>
                <c:pt idx="12">
                  <c:v>0.92087984705187986</c:v>
                </c:pt>
                <c:pt idx="13">
                  <c:v>0.94348883247154114</c:v>
                </c:pt>
                <c:pt idx="14">
                  <c:v>0.96225152284478987</c:v>
                </c:pt>
                <c:pt idx="15">
                  <c:v>0.97513181044147679</c:v>
                </c:pt>
                <c:pt idx="16">
                  <c:v>0.99173696086211238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87-EE47-A780-36B961870C15}"/>
            </c:ext>
          </c:extLst>
        </c:ser>
        <c:ser>
          <c:idx val="4"/>
          <c:order val="4"/>
          <c:tx>
            <c:v>Park &amp; Ride</c:v>
          </c:tx>
          <c:spPr>
            <a:ln w="3175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A!$BB$7:$BB$24</c:f>
              <c:numCache>
                <c:formatCode>0.00_)</c:formatCode>
                <c:ptCount val="18"/>
                <c:pt idx="0">
                  <c:v>6.1913794920434185E-3</c:v>
                </c:pt>
                <c:pt idx="1">
                  <c:v>1.8205290336178733E-2</c:v>
                </c:pt>
                <c:pt idx="2">
                  <c:v>5.398355991147645E-2</c:v>
                </c:pt>
                <c:pt idx="3">
                  <c:v>0.13576246179787121</c:v>
                </c:pt>
                <c:pt idx="4">
                  <c:v>0.16974918326483296</c:v>
                </c:pt>
                <c:pt idx="5">
                  <c:v>0.29816102855938453</c:v>
                </c:pt>
                <c:pt idx="6">
                  <c:v>0.39493097270523764</c:v>
                </c:pt>
                <c:pt idx="7">
                  <c:v>0.57384866687743696</c:v>
                </c:pt>
                <c:pt idx="8">
                  <c:v>0.70523764358731156</c:v>
                </c:pt>
                <c:pt idx="9">
                  <c:v>0.80933185794077345</c:v>
                </c:pt>
                <c:pt idx="10">
                  <c:v>0.84007798503530395</c:v>
                </c:pt>
                <c:pt idx="11">
                  <c:v>0.89021498577300018</c:v>
                </c:pt>
                <c:pt idx="12">
                  <c:v>0.93173674781325733</c:v>
                </c:pt>
                <c:pt idx="13">
                  <c:v>0.95328801770471061</c:v>
                </c:pt>
                <c:pt idx="14">
                  <c:v>0.96032247865950038</c:v>
                </c:pt>
                <c:pt idx="15">
                  <c:v>0.97807988196859508</c:v>
                </c:pt>
                <c:pt idx="16">
                  <c:v>0.99799768152597734</c:v>
                </c:pt>
                <c:pt idx="17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87-EE47-A780-36B961870C15}"/>
            </c:ext>
          </c:extLst>
        </c:ser>
        <c:ser>
          <c:idx val="5"/>
          <c:order val="5"/>
          <c:tx>
            <c:v>Kiss &amp; Ride</c:v>
          </c:tx>
          <c:spPr>
            <a:ln w="3175">
              <a:solidFill>
                <a:srgbClr val="00FFFF"/>
              </a:solidFill>
              <a:prstDash val="solid"/>
            </a:ln>
          </c:spPr>
          <c:marker>
            <c:symbol val="triangle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A!$AJ$7:$AJ$24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A!$BC$7:$BC$24</c:f>
              <c:numCache>
                <c:formatCode>0.00_)</c:formatCode>
                <c:ptCount val="18"/>
                <c:pt idx="0">
                  <c:v>1.6566840830890786E-2</c:v>
                </c:pt>
                <c:pt idx="1">
                  <c:v>5.4543137504778898E-2</c:v>
                </c:pt>
                <c:pt idx="2">
                  <c:v>0.15275476827662376</c:v>
                </c:pt>
                <c:pt idx="3">
                  <c:v>0.2093793806550274</c:v>
                </c:pt>
                <c:pt idx="4">
                  <c:v>0.26260566670914576</c:v>
                </c:pt>
                <c:pt idx="5">
                  <c:v>0.40758676351896694</c:v>
                </c:pt>
                <c:pt idx="6">
                  <c:v>0.53383458646616544</c:v>
                </c:pt>
                <c:pt idx="7">
                  <c:v>0.6845078798691645</c:v>
                </c:pt>
                <c:pt idx="8">
                  <c:v>0.78178497090183097</c:v>
                </c:pt>
                <c:pt idx="9">
                  <c:v>0.81028843294677388</c:v>
                </c:pt>
                <c:pt idx="10">
                  <c:v>0.84342211460855543</c:v>
                </c:pt>
                <c:pt idx="11">
                  <c:v>0.89788029395522717</c:v>
                </c:pt>
                <c:pt idx="12">
                  <c:v>0.94273820143579301</c:v>
                </c:pt>
                <c:pt idx="13">
                  <c:v>0.97030712374155748</c:v>
                </c:pt>
                <c:pt idx="14">
                  <c:v>0.99307591011426888</c:v>
                </c:pt>
                <c:pt idx="15">
                  <c:v>1.0000000000000002</c:v>
                </c:pt>
                <c:pt idx="16">
                  <c:v>1.0000000000000002</c:v>
                </c:pt>
                <c:pt idx="17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87-EE47-A780-36B961870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656256"/>
        <c:axId val="1"/>
      </c:lineChart>
      <c:catAx>
        <c:axId val="105665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 (in minutes)</a:t>
                </a:r>
              </a:p>
            </c:rich>
          </c:tx>
          <c:layout>
            <c:manualLayout>
              <c:xMode val="edge"/>
              <c:yMode val="edge"/>
              <c:x val="0.41517241379310343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Frequency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0723981900452488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665625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482758620689659"/>
          <c:y val="0.40723981900452488"/>
          <c:w val="0.1296551724137931"/>
          <c:h val="0.219457013574660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Distribution by Mode: Chained Work
1968 v. 1988</a:t>
            </a:r>
          </a:p>
        </c:rich>
      </c:tx>
      <c:layout>
        <c:manualLayout>
          <c:xMode val="edge"/>
          <c:yMode val="edge"/>
          <c:x val="0.3931034482758620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103448275862071E-2"/>
          <c:y val="0.15158371040723981"/>
          <c:w val="0.82482758620689656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AU1-68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A!$A$105:$A$123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90</c:v>
                </c:pt>
              </c:numCache>
            </c:numRef>
          </c:cat>
          <c:val>
            <c:numRef>
              <c:f>A!$L$102:$L$119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2A-E449-8993-71E643B6BFE1}"/>
            </c:ext>
          </c:extLst>
        </c:ser>
        <c:ser>
          <c:idx val="1"/>
          <c:order val="1"/>
          <c:tx>
            <c:v>AU2-68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A!$A$105:$A$123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90</c:v>
                </c:pt>
              </c:numCache>
            </c:numRef>
          </c:cat>
          <c:val>
            <c:numRef>
              <c:f>A!$M$102:$M$119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A-E449-8993-71E643B6BFE1}"/>
            </c:ext>
          </c:extLst>
        </c:ser>
        <c:ser>
          <c:idx val="2"/>
          <c:order val="2"/>
          <c:tx>
            <c:v>TRN-68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A!$A$105:$A$123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90</c:v>
                </c:pt>
              </c:numCache>
            </c:numRef>
          </c:cat>
          <c:val>
            <c:numRef>
              <c:f>A!$N$102:$N$119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2A-E449-8993-71E643B6BFE1}"/>
            </c:ext>
          </c:extLst>
        </c:ser>
        <c:ser>
          <c:idx val="3"/>
          <c:order val="3"/>
          <c:tx>
            <c:v>AU1-88</c:v>
          </c:tx>
          <c:spPr>
            <a:ln w="3175">
              <a:solidFill>
                <a:srgbClr val="FFFF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A!$A$105:$A$123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90</c:v>
                </c:pt>
              </c:numCache>
            </c:numRef>
          </c:cat>
          <c:val>
            <c:numRef>
              <c:f>A!$BB$105:$BB$122</c:f>
              <c:numCache>
                <c:formatCode>0.00_)</c:formatCode>
                <c:ptCount val="18"/>
                <c:pt idx="0">
                  <c:v>6.8542943711688648E-2</c:v>
                </c:pt>
                <c:pt idx="1">
                  <c:v>0.21128366149015529</c:v>
                </c:pt>
                <c:pt idx="2">
                  <c:v>0.37680369588912332</c:v>
                </c:pt>
                <c:pt idx="3">
                  <c:v>0.50836974890753273</c:v>
                </c:pt>
                <c:pt idx="4">
                  <c:v>0.57749767506974781</c:v>
                </c:pt>
                <c:pt idx="5">
                  <c:v>0.72279831605051836</c:v>
                </c:pt>
                <c:pt idx="6">
                  <c:v>0.77966661000169979</c:v>
                </c:pt>
                <c:pt idx="7">
                  <c:v>0.82455026349209504</c:v>
                </c:pt>
                <c:pt idx="8">
                  <c:v>0.88332350029499096</c:v>
                </c:pt>
                <c:pt idx="9">
                  <c:v>0.90738277851664428</c:v>
                </c:pt>
                <c:pt idx="10">
                  <c:v>0.92576722698319025</c:v>
                </c:pt>
                <c:pt idx="11">
                  <c:v>0.95778626641200737</c:v>
                </c:pt>
                <c:pt idx="12">
                  <c:v>0.96853594392168207</c:v>
                </c:pt>
                <c:pt idx="13">
                  <c:v>0.97383578492645195</c:v>
                </c:pt>
                <c:pt idx="14">
                  <c:v>0.98465046048618521</c:v>
                </c:pt>
                <c:pt idx="15">
                  <c:v>0.98876533703988856</c:v>
                </c:pt>
                <c:pt idx="16">
                  <c:v>0.9930252092437224</c:v>
                </c:pt>
                <c:pt idx="17">
                  <c:v>0.99778006659800178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2A-E449-8993-71E643B6BFE1}"/>
            </c:ext>
          </c:extLst>
        </c:ser>
        <c:ser>
          <c:idx val="4"/>
          <c:order val="4"/>
          <c:tx>
            <c:v>AU2-88</c:v>
          </c:tx>
          <c:spPr>
            <a:ln w="3175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A!$A$105:$A$123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90</c:v>
                </c:pt>
              </c:numCache>
            </c:numRef>
          </c:cat>
          <c:val>
            <c:numRef>
              <c:f>A!$BC$105:$BC$122</c:f>
              <c:numCache>
                <c:formatCode>0.00_)</c:formatCode>
                <c:ptCount val="18"/>
                <c:pt idx="0">
                  <c:v>4.7846666277099284E-2</c:v>
                </c:pt>
                <c:pt idx="1">
                  <c:v>0.1844913223864898</c:v>
                </c:pt>
                <c:pt idx="2">
                  <c:v>0.32418629112370712</c:v>
                </c:pt>
                <c:pt idx="3">
                  <c:v>0.44549757494302578</c:v>
                </c:pt>
                <c:pt idx="4">
                  <c:v>0.50201601121954065</c:v>
                </c:pt>
                <c:pt idx="5">
                  <c:v>0.63912814819143338</c:v>
                </c:pt>
                <c:pt idx="6">
                  <c:v>0.71495354408928879</c:v>
                </c:pt>
                <c:pt idx="7">
                  <c:v>0.77074738502892537</c:v>
                </c:pt>
                <c:pt idx="8">
                  <c:v>0.82878513410857246</c:v>
                </c:pt>
                <c:pt idx="9">
                  <c:v>0.85914801612808978</c:v>
                </c:pt>
                <c:pt idx="10">
                  <c:v>0.88177408987319583</c:v>
                </c:pt>
                <c:pt idx="11">
                  <c:v>0.92951557295623211</c:v>
                </c:pt>
                <c:pt idx="12">
                  <c:v>0.94483725822474141</c:v>
                </c:pt>
                <c:pt idx="13">
                  <c:v>0.95385963887103364</c:v>
                </c:pt>
                <c:pt idx="14">
                  <c:v>0.98020218547303217</c:v>
                </c:pt>
                <c:pt idx="15">
                  <c:v>0.98483024601180391</c:v>
                </c:pt>
                <c:pt idx="16">
                  <c:v>0.98708584117337694</c:v>
                </c:pt>
                <c:pt idx="17">
                  <c:v>0.99776777888155199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2A-E449-8993-71E643B6B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148512"/>
        <c:axId val="1"/>
      </c:lineChart>
      <c:catAx>
        <c:axId val="1060148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593103448275862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0950226244343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6014851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896551724137931"/>
          <c:y val="0.42533936651583709"/>
          <c:w val="8.5517241379310341E-2"/>
          <c:h val="0.1832579185520361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Cumulative Distribution of Travel Times
Home to Work Trips by AUTO1</a:t>
            </a:r>
          </a:p>
        </c:rich>
      </c:tx>
      <c:layout>
        <c:manualLayout>
          <c:xMode val="edge"/>
          <c:yMode val="edge"/>
          <c:x val="0.38068965517241377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5158371040723981"/>
          <c:w val="0.82482758620689656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1968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B!$L$5:$L$24</c:f>
              <c:numCache>
                <c:formatCode>0.00_)</c:formatCode>
                <c:ptCount val="20"/>
                <c:pt idx="0">
                  <c:v>6.5361750313422576E-2</c:v>
                </c:pt>
                <c:pt idx="1">
                  <c:v>0.15944976283877083</c:v>
                </c:pt>
                <c:pt idx="2">
                  <c:v>0.32435914471745753</c:v>
                </c:pt>
                <c:pt idx="3">
                  <c:v>0.4378545141516792</c:v>
                </c:pt>
                <c:pt idx="4">
                  <c:v>0.49124554419980471</c:v>
                </c:pt>
                <c:pt idx="5">
                  <c:v>0.73337184916430276</c:v>
                </c:pt>
                <c:pt idx="6">
                  <c:v>0.76596086406415198</c:v>
                </c:pt>
                <c:pt idx="7">
                  <c:v>0.80322608600199896</c:v>
                </c:pt>
                <c:pt idx="8">
                  <c:v>0.89586628844120653</c:v>
                </c:pt>
                <c:pt idx="9">
                  <c:v>0.91109313705665873</c:v>
                </c:pt>
                <c:pt idx="10">
                  <c:v>0.91692597449866831</c:v>
                </c:pt>
                <c:pt idx="11">
                  <c:v>0.97574080386390816</c:v>
                </c:pt>
                <c:pt idx="12">
                  <c:v>0.97898537746477243</c:v>
                </c:pt>
                <c:pt idx="13">
                  <c:v>0.98348826326340777</c:v>
                </c:pt>
                <c:pt idx="14">
                  <c:v>0.99216819093067721</c:v>
                </c:pt>
                <c:pt idx="15">
                  <c:v>0.99381820912940733</c:v>
                </c:pt>
                <c:pt idx="16">
                  <c:v>0.99501065925622068</c:v>
                </c:pt>
                <c:pt idx="17">
                  <c:v>0.99969495461872204</c:v>
                </c:pt>
                <c:pt idx="18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A-0E43-826B-AC9E50ACB22A}"/>
            </c:ext>
          </c:extLst>
        </c:ser>
        <c:ser>
          <c:idx val="1"/>
          <c:order val="1"/>
          <c:tx>
            <c:v>1988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B!$BD$7:$BD$24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FA-0E43-826B-AC9E50ACB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04528"/>
        <c:axId val="1"/>
      </c:lineChart>
      <c:catAx>
        <c:axId val="1058604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 (in minutes)</a:t>
                </a:r>
              </a:p>
            </c:rich>
          </c:tx>
          <c:layout>
            <c:manualLayout>
              <c:xMode val="edge"/>
              <c:yMode val="edge"/>
              <c:x val="0.44413793103448274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Frequency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0723981900452488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60452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27586206896552"/>
          <c:y val="0.47963800904977377"/>
          <c:w val="7.1724137931034479E-2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1968 v 1988 Cumulative Distribution by Mode</a:t>
            </a:r>
          </a:p>
        </c:rich>
      </c:tx>
      <c:layout>
        <c:manualLayout>
          <c:xMode val="edge"/>
          <c:yMode val="edge"/>
          <c:x val="0.3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2217194570135746"/>
          <c:w val="0.79034482758620694"/>
          <c:h val="0.75791855203619907"/>
        </c:manualLayout>
      </c:layout>
      <c:lineChart>
        <c:grouping val="standard"/>
        <c:varyColors val="0"/>
        <c:ser>
          <c:idx val="0"/>
          <c:order val="0"/>
          <c:tx>
            <c:v>au2+-1968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B!$M$5:$M$23</c:f>
              <c:numCache>
                <c:formatCode>0.00_)</c:formatCode>
                <c:ptCount val="19"/>
                <c:pt idx="0">
                  <c:v>5.5686257639350083E-2</c:v>
                </c:pt>
                <c:pt idx="1">
                  <c:v>0.12889495944052937</c:v>
                </c:pt>
                <c:pt idx="2">
                  <c:v>0.24608588336833162</c:v>
                </c:pt>
                <c:pt idx="3">
                  <c:v>0.33738435106191333</c:v>
                </c:pt>
                <c:pt idx="4">
                  <c:v>0.39700959607230529</c:v>
                </c:pt>
                <c:pt idx="5">
                  <c:v>0.6073192569429694</c:v>
                </c:pt>
                <c:pt idx="6">
                  <c:v>0.65613312432949833</c:v>
                </c:pt>
                <c:pt idx="7">
                  <c:v>0.7127039736719698</c:v>
                </c:pt>
                <c:pt idx="8">
                  <c:v>0.82666842330267287</c:v>
                </c:pt>
                <c:pt idx="9">
                  <c:v>0.85874764400158099</c:v>
                </c:pt>
                <c:pt idx="10">
                  <c:v>0.87347918789641943</c:v>
                </c:pt>
                <c:pt idx="11">
                  <c:v>0.95108127219881533</c:v>
                </c:pt>
                <c:pt idx="12">
                  <c:v>0.95949430392850132</c:v>
                </c:pt>
                <c:pt idx="13">
                  <c:v>0.96738572231348963</c:v>
                </c:pt>
                <c:pt idx="14">
                  <c:v>0.98396711147199822</c:v>
                </c:pt>
                <c:pt idx="15">
                  <c:v>0.98813464077241797</c:v>
                </c:pt>
                <c:pt idx="16">
                  <c:v>0.99017000830817137</c:v>
                </c:pt>
                <c:pt idx="17">
                  <c:v>0.99872285392406501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5-CF4F-AF85-9EC1014F73AE}"/>
            </c:ext>
          </c:extLst>
        </c:ser>
        <c:ser>
          <c:idx val="1"/>
          <c:order val="1"/>
          <c:tx>
            <c:v>au2+-1988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B!$BG$7:$BG$24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05-CF4F-AF85-9EC1014F7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47104"/>
        <c:axId val="1"/>
      </c:lineChart>
      <c:catAx>
        <c:axId val="1058647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6482758620689657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Frequency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391402714932126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647104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827586206896547"/>
          <c:y val="0.46380090497737558"/>
          <c:w val="0.10620689655172413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1968 v 1988 Cumulative Distribution by Mode</a:t>
            </a:r>
          </a:p>
        </c:rich>
      </c:tx>
      <c:layout>
        <c:manualLayout>
          <c:xMode val="edge"/>
          <c:yMode val="edge"/>
          <c:x val="0.3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2217194570135746"/>
          <c:w val="0.79448275862068962"/>
          <c:h val="0.75791855203619907"/>
        </c:manualLayout>
      </c:layout>
      <c:lineChart>
        <c:grouping val="standard"/>
        <c:varyColors val="0"/>
        <c:ser>
          <c:idx val="0"/>
          <c:order val="0"/>
          <c:tx>
            <c:v>walk-1968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B!$O$5:$O$23</c:f>
              <c:numCache>
                <c:formatCode>0.00_)</c:formatCode>
                <c:ptCount val="19"/>
                <c:pt idx="0">
                  <c:v>0.27352858993573298</c:v>
                </c:pt>
                <c:pt idx="1">
                  <c:v>0.50664261945284128</c:v>
                </c:pt>
                <c:pt idx="2">
                  <c:v>0.74476084029771139</c:v>
                </c:pt>
                <c:pt idx="3">
                  <c:v>0.82355780222013375</c:v>
                </c:pt>
                <c:pt idx="4">
                  <c:v>0.85531028526430775</c:v>
                </c:pt>
                <c:pt idx="5">
                  <c:v>0.95508928798232029</c:v>
                </c:pt>
                <c:pt idx="6">
                  <c:v>0.96141438260471979</c:v>
                </c:pt>
                <c:pt idx="7">
                  <c:v>0.96537709248863268</c:v>
                </c:pt>
                <c:pt idx="8">
                  <c:v>0.98158355983437917</c:v>
                </c:pt>
                <c:pt idx="9">
                  <c:v>0.98425076841008974</c:v>
                </c:pt>
                <c:pt idx="10">
                  <c:v>0.98511443594889125</c:v>
                </c:pt>
                <c:pt idx="11">
                  <c:v>0.99712957553280668</c:v>
                </c:pt>
                <c:pt idx="12">
                  <c:v>0.99928874437981052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4-1B47-BD1B-572236A1DBEA}"/>
            </c:ext>
          </c:extLst>
        </c:ser>
        <c:ser>
          <c:idx val="1"/>
          <c:order val="1"/>
          <c:tx>
            <c:v>walk-1988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B!$BJ$7:$BJ$24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84-1B47-BD1B-572236A1D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675552"/>
        <c:axId val="1"/>
      </c:lineChart>
      <c:catAx>
        <c:axId val="1056675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6758620689655173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Frequency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391402714932126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667555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241379310344826"/>
          <c:y val="0.46380090497737558"/>
          <c:w val="0.10206896551724139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1968 v 1988 Cumulative Distribution by Mode</a:t>
            </a:r>
          </a:p>
        </c:rich>
      </c:tx>
      <c:layout>
        <c:manualLayout>
          <c:xMode val="edge"/>
          <c:yMode val="edge"/>
          <c:x val="0.3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2217194570135746"/>
          <c:w val="0.79862068965517241"/>
          <c:h val="0.75791855203619907"/>
        </c:manualLayout>
      </c:layout>
      <c:lineChart>
        <c:grouping val="standard"/>
        <c:varyColors val="0"/>
        <c:ser>
          <c:idx val="0"/>
          <c:order val="0"/>
          <c:tx>
            <c:v>wct-1968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B!$N$5:$N$23</c:f>
              <c:numCache>
                <c:formatCode>0.00_)</c:formatCode>
                <c:ptCount val="19"/>
                <c:pt idx="0">
                  <c:v>4.3649029198162149E-3</c:v>
                </c:pt>
                <c:pt idx="1">
                  <c:v>1.7033496368756486E-2</c:v>
                </c:pt>
                <c:pt idx="2">
                  <c:v>6.4369349340447607E-2</c:v>
                </c:pt>
                <c:pt idx="3">
                  <c:v>0.11133466725952275</c:v>
                </c:pt>
                <c:pt idx="4">
                  <c:v>0.14927004594634652</c:v>
                </c:pt>
                <c:pt idx="5">
                  <c:v>0.37551504372313621</c:v>
                </c:pt>
                <c:pt idx="6">
                  <c:v>0.41691492515191936</c:v>
                </c:pt>
                <c:pt idx="7">
                  <c:v>0.47132429227804951</c:v>
                </c:pt>
                <c:pt idx="8">
                  <c:v>0.61655921150140802</c:v>
                </c:pt>
                <c:pt idx="9">
                  <c:v>0.66093819475322368</c:v>
                </c:pt>
                <c:pt idx="10">
                  <c:v>0.68488216985326811</c:v>
                </c:pt>
                <c:pt idx="11">
                  <c:v>0.85775529865125244</c:v>
                </c:pt>
                <c:pt idx="12">
                  <c:v>0.87135393508225878</c:v>
                </c:pt>
                <c:pt idx="13">
                  <c:v>0.89374907366236844</c:v>
                </c:pt>
                <c:pt idx="14">
                  <c:v>0.94108492663405952</c:v>
                </c:pt>
                <c:pt idx="15">
                  <c:v>0.95209722839780642</c:v>
                </c:pt>
                <c:pt idx="16">
                  <c:v>0.95832221728175482</c:v>
                </c:pt>
                <c:pt idx="17">
                  <c:v>0.9969986660738106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72-B04D-8391-EA8B4766E8D1}"/>
            </c:ext>
          </c:extLst>
        </c:ser>
        <c:ser>
          <c:idx val="1"/>
          <c:order val="1"/>
          <c:tx>
            <c:v>wct-1988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B!$BK$7:$BK$24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72-B04D-8391-EA8B4766E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721472"/>
        <c:axId val="1"/>
      </c:lineChart>
      <c:catAx>
        <c:axId val="105672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689655172413793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Frequency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391402714932126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672147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655172413793105"/>
          <c:y val="0.46380090497737558"/>
          <c:w val="9.7931034482758625E-2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Intervening Opportunities
WORK TRIPS, 1988, AUTO 1, ALL DAY</a:t>
            </a:r>
          </a:p>
        </c:rich>
      </c:tx>
      <c:layout>
        <c:manualLayout>
          <c:xMode val="edge"/>
          <c:yMode val="edge"/>
          <c:x val="0.38068965517241377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965517241379309E-2"/>
          <c:y val="0.15158371040723981"/>
          <c:w val="0.82068965517241377"/>
          <c:h val="0.75791855203619907"/>
        </c:manualLayout>
      </c:layout>
      <c:lineChart>
        <c:grouping val="standard"/>
        <c:varyColors val="0"/>
        <c:ser>
          <c:idx val="0"/>
          <c:order val="0"/>
          <c:tx>
            <c:v>Observed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A!$CU$5:$CU$22</c:f>
              <c:numCache>
                <c:formatCode>General</c:formatCode>
                <c:ptCount val="18"/>
              </c:numCache>
            </c:numRef>
          </c:cat>
          <c:val>
            <c:numRef>
              <c:f>A!$CS$5:$CS$22</c:f>
              <c:numCache>
                <c:formatCode>General</c:formatCode>
                <c:ptCount val="18"/>
                <c:pt idx="1">
                  <c:v>3.9642922565336835E-3</c:v>
                </c:pt>
                <c:pt idx="2">
                  <c:v>2.1624546714319182E-2</c:v>
                </c:pt>
                <c:pt idx="3">
                  <c:v>0.79398405999412991</c:v>
                </c:pt>
                <c:pt idx="4">
                  <c:v>18</c:v>
                </c:pt>
                <c:pt idx="5">
                  <c:v>16</c:v>
                </c:pt>
                <c:pt idx="14">
                  <c:v>4.4854289751444423E-3</c:v>
                </c:pt>
                <c:pt idx="15">
                  <c:v>2.1239735132763272E-2</c:v>
                </c:pt>
                <c:pt idx="16">
                  <c:v>0.81894795574537937</c:v>
                </c:pt>
                <c:pt idx="17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12-3043-85A1-92469B383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760016"/>
        <c:axId val="1"/>
      </c:lineChart>
      <c:catAx>
        <c:axId val="1056760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6206896551724136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RATIO OF TRIPS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47963800904977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676001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068965517241384"/>
          <c:y val="0.5113122171945701"/>
          <c:w val="9.3793103448275864E-2"/>
          <c:h val="3.846153846153846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Distribution by Mode: NonWork
1968 v. 1988</a:t>
            </a:r>
          </a:p>
        </c:rich>
      </c:tx>
      <c:layout>
        <c:manualLayout>
          <c:xMode val="edge"/>
          <c:yMode val="edge"/>
          <c:x val="0.4068965517241379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5158371040723981"/>
          <c:w val="0.81103448275862067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AU1-68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B!$A$54:$A$72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B!$L$54:$L$72</c:f>
              <c:numCache>
                <c:formatCode>0.00_)</c:formatCode>
                <c:ptCount val="19"/>
                <c:pt idx="0">
                  <c:v>0.25278101263192682</c:v>
                </c:pt>
                <c:pt idx="1">
                  <c:v>0.48417966682266522</c:v>
                </c:pt>
                <c:pt idx="2">
                  <c:v>0.67341121388987557</c:v>
                </c:pt>
                <c:pt idx="3">
                  <c:v>0.77167646357499264</c:v>
                </c:pt>
                <c:pt idx="4">
                  <c:v>0.80474486317803728</c:v>
                </c:pt>
                <c:pt idx="5">
                  <c:v>0.9185479665932188</c:v>
                </c:pt>
                <c:pt idx="6">
                  <c:v>0.93038835729543989</c:v>
                </c:pt>
                <c:pt idx="7">
                  <c:v>0.94421649303992417</c:v>
                </c:pt>
                <c:pt idx="8">
                  <c:v>0.97186583858797881</c:v>
                </c:pt>
                <c:pt idx="9">
                  <c:v>0.97716517280717297</c:v>
                </c:pt>
                <c:pt idx="10">
                  <c:v>0.9794447967879466</c:v>
                </c:pt>
                <c:pt idx="11">
                  <c:v>0.99242401006042402</c:v>
                </c:pt>
                <c:pt idx="12">
                  <c:v>0.99372905521261168</c:v>
                </c:pt>
                <c:pt idx="13">
                  <c:v>0.99466009955545365</c:v>
                </c:pt>
                <c:pt idx="14">
                  <c:v>0.99698226860184058</c:v>
                </c:pt>
                <c:pt idx="15">
                  <c:v>0.9978895668615495</c:v>
                </c:pt>
                <c:pt idx="16">
                  <c:v>0.99821013898384581</c:v>
                </c:pt>
                <c:pt idx="17">
                  <c:v>0.99974571902645026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8-7741-A550-34B71F1A4225}"/>
            </c:ext>
          </c:extLst>
        </c:ser>
        <c:ser>
          <c:idx val="1"/>
          <c:order val="1"/>
          <c:tx>
            <c:v>AU2-68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B!$A$54:$A$72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B!$M$54:$M$72</c:f>
              <c:numCache>
                <c:formatCode>0.00_)</c:formatCode>
                <c:ptCount val="19"/>
                <c:pt idx="0">
                  <c:v>0.23204986586712956</c:v>
                </c:pt>
                <c:pt idx="1">
                  <c:v>0.46249077703235819</c:v>
                </c:pt>
                <c:pt idx="2">
                  <c:v>0.66229597516089544</c:v>
                </c:pt>
                <c:pt idx="3">
                  <c:v>0.76600104917920919</c:v>
                </c:pt>
                <c:pt idx="4">
                  <c:v>0.79983654555612893</c:v>
                </c:pt>
                <c:pt idx="5">
                  <c:v>0.91949148928003277</c:v>
                </c:pt>
                <c:pt idx="6">
                  <c:v>0.93119879387040505</c:v>
                </c:pt>
                <c:pt idx="7">
                  <c:v>0.94312094562607429</c:v>
                </c:pt>
                <c:pt idx="8">
                  <c:v>0.97124566573832793</c:v>
                </c:pt>
                <c:pt idx="9">
                  <c:v>0.97522167109511282</c:v>
                </c:pt>
                <c:pt idx="10">
                  <c:v>0.97732802630624949</c:v>
                </c:pt>
                <c:pt idx="11">
                  <c:v>0.99157777787255463</c:v>
                </c:pt>
                <c:pt idx="12">
                  <c:v>0.99243130221905673</c:v>
                </c:pt>
                <c:pt idx="13">
                  <c:v>0.99371558713518637</c:v>
                </c:pt>
                <c:pt idx="14">
                  <c:v>0.9963811847195152</c:v>
                </c:pt>
                <c:pt idx="15">
                  <c:v>0.99718033087529701</c:v>
                </c:pt>
                <c:pt idx="16">
                  <c:v>0.99760416089120529</c:v>
                </c:pt>
                <c:pt idx="17">
                  <c:v>0.99973610583915151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78-7741-A550-34B71F1A4225}"/>
            </c:ext>
          </c:extLst>
        </c:ser>
        <c:ser>
          <c:idx val="2"/>
          <c:order val="2"/>
          <c:tx>
            <c:v>TRN-68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B!$A$54:$A$72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B!$N$54:$N$72</c:f>
              <c:numCache>
                <c:formatCode>0.00_)</c:formatCode>
                <c:ptCount val="19"/>
                <c:pt idx="0">
                  <c:v>7.4196765088647386E-3</c:v>
                </c:pt>
                <c:pt idx="1">
                  <c:v>4.6656075177041262E-2</c:v>
                </c:pt>
                <c:pt idx="2">
                  <c:v>0.14617100748728176</c:v>
                </c:pt>
                <c:pt idx="3">
                  <c:v>0.23703246742271875</c:v>
                </c:pt>
                <c:pt idx="4">
                  <c:v>0.27626041543427926</c:v>
                </c:pt>
                <c:pt idx="5">
                  <c:v>0.53758006997143681</c:v>
                </c:pt>
                <c:pt idx="6">
                  <c:v>0.57890378082377003</c:v>
                </c:pt>
                <c:pt idx="7">
                  <c:v>0.62431760947825654</c:v>
                </c:pt>
                <c:pt idx="8">
                  <c:v>0.74471411428668022</c:v>
                </c:pt>
                <c:pt idx="9">
                  <c:v>0.76817313705274914</c:v>
                </c:pt>
                <c:pt idx="10">
                  <c:v>0.77918434262342195</c:v>
                </c:pt>
                <c:pt idx="11">
                  <c:v>0.91197796068754555</c:v>
                </c:pt>
                <c:pt idx="12">
                  <c:v>0.92038636402048457</c:v>
                </c:pt>
                <c:pt idx="13">
                  <c:v>0.929420115943009</c:v>
                </c:pt>
                <c:pt idx="14">
                  <c:v>0.95852417732857864</c:v>
                </c:pt>
                <c:pt idx="15">
                  <c:v>0.96841144556932091</c:v>
                </c:pt>
                <c:pt idx="16">
                  <c:v>0.97048185644024554</c:v>
                </c:pt>
                <c:pt idx="17">
                  <c:v>0.9958760795713828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78-7741-A550-34B71F1A4225}"/>
            </c:ext>
          </c:extLst>
        </c:ser>
        <c:ser>
          <c:idx val="3"/>
          <c:order val="3"/>
          <c:tx>
            <c:v>AU1-88</c:v>
          </c:tx>
          <c:spPr>
            <a:ln w="3175">
              <a:solidFill>
                <a:srgbClr val="FFFF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B!$A$54:$A$72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B!$BB$54:$BB$71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78-7741-A550-34B71F1A4225}"/>
            </c:ext>
          </c:extLst>
        </c:ser>
        <c:ser>
          <c:idx val="4"/>
          <c:order val="4"/>
          <c:tx>
            <c:v>AU2-88</c:v>
          </c:tx>
          <c:spPr>
            <a:ln w="3175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B!$A$54:$A$72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B!$BC$54:$BC$71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78-7741-A550-34B71F1A4225}"/>
            </c:ext>
          </c:extLst>
        </c:ser>
        <c:ser>
          <c:idx val="5"/>
          <c:order val="5"/>
          <c:tx>
            <c:v>TRN-88</c:v>
          </c:tx>
          <c:spPr>
            <a:ln w="3175">
              <a:solidFill>
                <a:srgbClr val="00FFFF"/>
              </a:solidFill>
              <a:prstDash val="solid"/>
            </a:ln>
          </c:spPr>
          <c:marker>
            <c:symbol val="triangle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B!$A$54:$A$72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B!$BD$54:$BD$71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78-7741-A550-34B71F1A4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820096"/>
        <c:axId val="1"/>
      </c:lineChart>
      <c:catAx>
        <c:axId val="1056820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6620689655172415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09502262443438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682009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896551724137931"/>
          <c:y val="0.40723981900452488"/>
          <c:w val="8.5517241379310341E-2"/>
          <c:h val="0.219457013574660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1968 Trip Distribution
Observed Data: Nonwork Trips</a:t>
            </a:r>
          </a:p>
        </c:rich>
      </c:tx>
      <c:layout>
        <c:manualLayout>
          <c:xMode val="edge"/>
          <c:yMode val="edge"/>
          <c:x val="0.40827586206896554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5158371040723981"/>
          <c:w val="0.8317241379310345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AU1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B!$A$54:$A$72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B!$G$54:$G$72</c:f>
              <c:numCache>
                <c:formatCode>0.00_)</c:formatCode>
                <c:ptCount val="19"/>
                <c:pt idx="0">
                  <c:v>0.25278101263192682</c:v>
                </c:pt>
                <c:pt idx="1">
                  <c:v>0.23139865419073843</c:v>
                </c:pt>
                <c:pt idx="2">
                  <c:v>0.18923154706721032</c:v>
                </c:pt>
                <c:pt idx="3">
                  <c:v>9.8265249685117045E-2</c:v>
                </c:pt>
                <c:pt idx="4">
                  <c:v>3.306839960304464E-2</c:v>
                </c:pt>
                <c:pt idx="5">
                  <c:v>0.11380310341518146</c:v>
                </c:pt>
                <c:pt idx="6">
                  <c:v>1.1840390702221149E-2</c:v>
                </c:pt>
                <c:pt idx="7">
                  <c:v>1.382813574448423E-2</c:v>
                </c:pt>
                <c:pt idx="8">
                  <c:v>2.7649345548054653E-2</c:v>
                </c:pt>
                <c:pt idx="9">
                  <c:v>5.2993342191941569E-3</c:v>
                </c:pt>
                <c:pt idx="10">
                  <c:v>2.2796239807735879E-3</c:v>
                </c:pt>
                <c:pt idx="11">
                  <c:v>1.29792132724774E-2</c:v>
                </c:pt>
                <c:pt idx="12">
                  <c:v>1.3050451521876573E-3</c:v>
                </c:pt>
                <c:pt idx="13">
                  <c:v>9.3104434284199059E-4</c:v>
                </c:pt>
                <c:pt idx="14">
                  <c:v>2.3221690463869839E-3</c:v>
                </c:pt>
                <c:pt idx="15">
                  <c:v>9.0729825970893238E-4</c:v>
                </c:pt>
                <c:pt idx="16">
                  <c:v>3.2057212229628582E-4</c:v>
                </c:pt>
                <c:pt idx="17">
                  <c:v>1.5355800426044308E-3</c:v>
                </c:pt>
                <c:pt idx="18">
                  <c:v>2.5428097354983164E-4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7A-C148-BE38-2EB8892B92D1}"/>
            </c:ext>
          </c:extLst>
        </c:ser>
        <c:ser>
          <c:idx val="1"/>
          <c:order val="1"/>
          <c:tx>
            <c:v>AU2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B!$A$54:$A$72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B!$H$54:$H$72</c:f>
              <c:numCache>
                <c:formatCode>0.00_)</c:formatCode>
                <c:ptCount val="19"/>
                <c:pt idx="0">
                  <c:v>0.23204986586712956</c:v>
                </c:pt>
                <c:pt idx="1">
                  <c:v>0.23044091116522866</c:v>
                </c:pt>
                <c:pt idx="2">
                  <c:v>0.19980519812853725</c:v>
                </c:pt>
                <c:pt idx="3">
                  <c:v>0.10370507401831372</c:v>
                </c:pt>
                <c:pt idx="4">
                  <c:v>3.3835496376919766E-2</c:v>
                </c:pt>
                <c:pt idx="5">
                  <c:v>0.1196549437239038</c:v>
                </c:pt>
                <c:pt idx="6">
                  <c:v>1.1707304590372287E-2</c:v>
                </c:pt>
                <c:pt idx="7">
                  <c:v>1.1922151755669193E-2</c:v>
                </c:pt>
                <c:pt idx="8">
                  <c:v>2.8124720112253646E-2</c:v>
                </c:pt>
                <c:pt idx="9">
                  <c:v>3.9760053567849058E-3</c:v>
                </c:pt>
                <c:pt idx="10">
                  <c:v>2.1063552111366536E-3</c:v>
                </c:pt>
                <c:pt idx="11">
                  <c:v>1.4249751566305141E-2</c:v>
                </c:pt>
                <c:pt idx="12">
                  <c:v>8.5352434650209626E-4</c:v>
                </c:pt>
                <c:pt idx="13">
                  <c:v>1.2842849161296375E-3</c:v>
                </c:pt>
                <c:pt idx="14">
                  <c:v>2.6655975843288453E-3</c:v>
                </c:pt>
                <c:pt idx="15">
                  <c:v>7.9914615578178779E-4</c:v>
                </c:pt>
                <c:pt idx="16">
                  <c:v>4.2383001590828639E-4</c:v>
                </c:pt>
                <c:pt idx="17">
                  <c:v>2.1319449479462104E-3</c:v>
                </c:pt>
                <c:pt idx="18">
                  <c:v>2.638941608485557E-4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7A-C148-BE38-2EB8892B92D1}"/>
            </c:ext>
          </c:extLst>
        </c:ser>
        <c:ser>
          <c:idx val="2"/>
          <c:order val="2"/>
          <c:tx>
            <c:v>TRN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B!$A$54:$A$72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B!$I$54:$I$72</c:f>
              <c:numCache>
                <c:formatCode>0.00_)</c:formatCode>
                <c:ptCount val="19"/>
                <c:pt idx="0">
                  <c:v>7.4196765088647386E-3</c:v>
                </c:pt>
                <c:pt idx="1">
                  <c:v>3.923639866817652E-2</c:v>
                </c:pt>
                <c:pt idx="2">
                  <c:v>9.95149323102405E-2</c:v>
                </c:pt>
                <c:pt idx="3">
                  <c:v>9.0861459935436983E-2</c:v>
                </c:pt>
                <c:pt idx="4">
                  <c:v>3.9227948011560501E-2</c:v>
                </c:pt>
                <c:pt idx="5">
                  <c:v>0.26131965453715755</c:v>
                </c:pt>
                <c:pt idx="6">
                  <c:v>4.1323710852333224E-2</c:v>
                </c:pt>
                <c:pt idx="7">
                  <c:v>4.5413828654486454E-2</c:v>
                </c:pt>
                <c:pt idx="8">
                  <c:v>0.12039650480842362</c:v>
                </c:pt>
                <c:pt idx="9">
                  <c:v>2.3459022766068923E-2</c:v>
                </c:pt>
                <c:pt idx="10">
                  <c:v>1.1011205570672842E-2</c:v>
                </c:pt>
                <c:pt idx="11">
                  <c:v>0.13279361806412357</c:v>
                </c:pt>
                <c:pt idx="12">
                  <c:v>8.4084033329389699E-3</c:v>
                </c:pt>
                <c:pt idx="13">
                  <c:v>9.0337519225243794E-3</c:v>
                </c:pt>
                <c:pt idx="14">
                  <c:v>2.910406138556966E-2</c:v>
                </c:pt>
                <c:pt idx="15">
                  <c:v>9.8872682407423057E-3</c:v>
                </c:pt>
                <c:pt idx="16">
                  <c:v>2.0704108709246709E-3</c:v>
                </c:pt>
                <c:pt idx="17">
                  <c:v>2.5394223131137289E-2</c:v>
                </c:pt>
                <c:pt idx="18">
                  <c:v>4.1239204286173036E-3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7A-C148-BE38-2EB8892B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866160"/>
        <c:axId val="1"/>
      </c:lineChart>
      <c:catAx>
        <c:axId val="105686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7586206896551725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6380090497737558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6866160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965517241379314"/>
          <c:y val="0.46153846153846156"/>
          <c:w val="6.4827586206896548E-2"/>
          <c:h val="0.110859728506787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1968 Trip Distribution
Nonwork Trips by Transit</a:t>
            </a:r>
          </a:p>
        </c:rich>
      </c:tx>
      <c:layout>
        <c:manualLayout>
          <c:xMode val="edge"/>
          <c:yMode val="edge"/>
          <c:x val="0.4234482758620689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5158371040723981"/>
          <c:w val="0.77103448275862074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TRN: Observed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B!$A$54:$A$72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B!$I$54:$I$72</c:f>
              <c:numCache>
                <c:formatCode>0.00_)</c:formatCode>
                <c:ptCount val="19"/>
                <c:pt idx="0">
                  <c:v>7.4196765088647386E-3</c:v>
                </c:pt>
                <c:pt idx="1">
                  <c:v>3.923639866817652E-2</c:v>
                </c:pt>
                <c:pt idx="2">
                  <c:v>9.95149323102405E-2</c:v>
                </c:pt>
                <c:pt idx="3">
                  <c:v>9.0861459935436983E-2</c:v>
                </c:pt>
                <c:pt idx="4">
                  <c:v>3.9227948011560501E-2</c:v>
                </c:pt>
                <c:pt idx="5">
                  <c:v>0.26131965453715755</c:v>
                </c:pt>
                <c:pt idx="6">
                  <c:v>4.1323710852333224E-2</c:v>
                </c:pt>
                <c:pt idx="7">
                  <c:v>4.5413828654486454E-2</c:v>
                </c:pt>
                <c:pt idx="8">
                  <c:v>0.12039650480842362</c:v>
                </c:pt>
                <c:pt idx="9">
                  <c:v>2.3459022766068923E-2</c:v>
                </c:pt>
                <c:pt idx="10">
                  <c:v>1.1011205570672842E-2</c:v>
                </c:pt>
                <c:pt idx="11">
                  <c:v>0.13279361806412357</c:v>
                </c:pt>
                <c:pt idx="12">
                  <c:v>8.4084033329389699E-3</c:v>
                </c:pt>
                <c:pt idx="13">
                  <c:v>9.0337519225243794E-3</c:v>
                </c:pt>
                <c:pt idx="14">
                  <c:v>2.910406138556966E-2</c:v>
                </c:pt>
                <c:pt idx="15">
                  <c:v>9.8872682407423057E-3</c:v>
                </c:pt>
                <c:pt idx="16">
                  <c:v>2.0704108709246709E-3</c:v>
                </c:pt>
                <c:pt idx="17">
                  <c:v>2.5394223131137289E-2</c:v>
                </c:pt>
                <c:pt idx="18">
                  <c:v>4.1239204286173036E-3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4-6B4C-9612-E637016BBB39}"/>
            </c:ext>
          </c:extLst>
        </c:ser>
        <c:ser>
          <c:idx val="1"/>
          <c:order val="1"/>
          <c:tx>
            <c:v>TRN : Equation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B!$A$54:$A$72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B!$T$54:$T$72</c:f>
              <c:numCache>
                <c:formatCode>0.00_)</c:formatCode>
                <c:ptCount val="19"/>
                <c:pt idx="0">
                  <c:v>6.0382772635690453E-2</c:v>
                </c:pt>
                <c:pt idx="1">
                  <c:v>5.9480816154595779E-2</c:v>
                </c:pt>
                <c:pt idx="2">
                  <c:v>5.7717120368415351E-2</c:v>
                </c:pt>
                <c:pt idx="3">
                  <c:v>5.5169145738318326E-2</c:v>
                </c:pt>
                <c:pt idx="4">
                  <c:v>5.1945954574585541E-2</c:v>
                </c:pt>
                <c:pt idx="5">
                  <c:v>4.8180474373331991E-2</c:v>
                </c:pt>
                <c:pt idx="6">
                  <c:v>4.4020429940849634E-2</c:v>
                </c:pt>
                <c:pt idx="7">
                  <c:v>3.9618803562355913E-2</c:v>
                </c:pt>
                <c:pt idx="8">
                  <c:v>3.512467387783625E-2</c:v>
                </c:pt>
                <c:pt idx="9">
                  <c:v>3.0675179522805459E-2</c:v>
                </c:pt>
                <c:pt idx="10">
                  <c:v>2.6389173807448964E-2</c:v>
                </c:pt>
                <c:pt idx="11">
                  <c:v>2.2362911343168437E-2</c:v>
                </c:pt>
                <c:pt idx="12">
                  <c:v>1.8667869602729523E-2</c:v>
                </c:pt>
                <c:pt idx="13">
                  <c:v>1.5350588974847994E-2</c:v>
                </c:pt>
                <c:pt idx="14">
                  <c:v>1.243423857527334E-2</c:v>
                </c:pt>
                <c:pt idx="15">
                  <c:v>9.9214972562182441E-3</c:v>
                </c:pt>
                <c:pt idx="16">
                  <c:v>7.7982850410869666E-3</c:v>
                </c:pt>
                <c:pt idx="17">
                  <c:v>6.0378853497898574E-3</c:v>
                </c:pt>
                <c:pt idx="18">
                  <c:v>4.6050514532730534E-3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4-6B4C-9612-E637016BB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892400"/>
        <c:axId val="1"/>
      </c:lineChart>
      <c:catAx>
        <c:axId val="105689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4551724137931037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6380090497737558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6892400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896551724137927"/>
          <c:y val="0.47963800904977377"/>
          <c:w val="0.12551724137931033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AUTO 1 TRIPS - 1988</a:t>
            </a:r>
          </a:p>
        </c:rich>
      </c:tx>
      <c:layout>
        <c:manualLayout>
          <c:xMode val="edge"/>
          <c:yMode val="edge"/>
          <c:x val="0.4317241379310344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827586206896548E-2"/>
          <c:y val="0.12217194570135746"/>
          <c:w val="0.7737931034482759"/>
          <c:h val="0.75791855203619907"/>
        </c:manualLayout>
      </c:layout>
      <c:lineChart>
        <c:grouping val="standard"/>
        <c:varyColors val="0"/>
        <c:ser>
          <c:idx val="0"/>
          <c:order val="0"/>
          <c:tx>
            <c:v>nonwork: equation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A!$AJ$54:$AJ$72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A!$BS$54:$BS$72</c:f>
              <c:numCache>
                <c:formatCode>General</c:formatCode>
                <c:ptCount val="19"/>
                <c:pt idx="0">
                  <c:v>-0.36687811941912746</c:v>
                </c:pt>
                <c:pt idx="1">
                  <c:v>-1.8301859935371225</c:v>
                </c:pt>
                <c:pt idx="2">
                  <c:v>-2.3352213747488335</c:v>
                </c:pt>
                <c:pt idx="3">
                  <c:v>-3.5884017926345257</c:v>
                </c:pt>
                <c:pt idx="4">
                  <c:v>-4.9771735104445245</c:v>
                </c:pt>
                <c:pt idx="5">
                  <c:v>-4.3303913307927617</c:v>
                </c:pt>
                <c:pt idx="6">
                  <c:v>-6.6778396243391711</c:v>
                </c:pt>
                <c:pt idx="7">
                  <c:v>-6.9318030607916539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8-6D4A-9E38-60EF8A71D1CA}"/>
            </c:ext>
          </c:extLst>
        </c:ser>
        <c:ser>
          <c:idx val="1"/>
          <c:order val="1"/>
          <c:tx>
            <c:v>nonwork: data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A!$AJ$54:$AJ$72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A!$AK$54:$AK$72</c:f>
              <c:numCache>
                <c:formatCode>0.00_)</c:formatCode>
                <c:ptCount val="19"/>
                <c:pt idx="0">
                  <c:v>0.57665582522732839</c:v>
                </c:pt>
                <c:pt idx="1">
                  <c:v>0.21506950800175645</c:v>
                </c:pt>
                <c:pt idx="2">
                  <c:v>9.9352600087168619E-2</c:v>
                </c:pt>
                <c:pt idx="3">
                  <c:v>4.4746512979428561E-2</c:v>
                </c:pt>
                <c:pt idx="4">
                  <c:v>1.747880840092882E-2</c:v>
                </c:pt>
                <c:pt idx="5">
                  <c:v>2.4039660118046761E-2</c:v>
                </c:pt>
                <c:pt idx="6">
                  <c:v>5.8749774582586229E-3</c:v>
                </c:pt>
                <c:pt idx="7">
                  <c:v>5.6952632868023049E-3</c:v>
                </c:pt>
                <c:pt idx="8">
                  <c:v>4.7415978492945767E-3</c:v>
                </c:pt>
                <c:pt idx="9">
                  <c:v>2.0195732085455803E-3</c:v>
                </c:pt>
                <c:pt idx="10">
                  <c:v>7.0583461501626255E-4</c:v>
                </c:pt>
                <c:pt idx="11">
                  <c:v>1.8854916811290891E-3</c:v>
                </c:pt>
                <c:pt idx="12">
                  <c:v>5.0194195562313108E-4</c:v>
                </c:pt>
                <c:pt idx="13">
                  <c:v>1.9975025115721273E-4</c:v>
                </c:pt>
                <c:pt idx="14">
                  <c:v>3.8118588120466954E-4</c:v>
                </c:pt>
                <c:pt idx="15">
                  <c:v>2.4233746556757342E-4</c:v>
                </c:pt>
                <c:pt idx="16">
                  <c:v>3.4273823949311037E-5</c:v>
                </c:pt>
                <c:pt idx="17">
                  <c:v>3.7485770879417893E-4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68-6D4A-9E38-60EF8A71D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921152"/>
        <c:axId val="1"/>
      </c:lineChart>
      <c:catAx>
        <c:axId val="105692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2482758620689653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47963800904977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692115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965517241379307"/>
          <c:y val="0.46380090497737558"/>
          <c:w val="0.14482758620689656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1968 Trip Distribution
Work Trips by AU1</a:t>
            </a:r>
          </a:p>
        </c:rich>
      </c:tx>
      <c:layout>
        <c:manualLayout>
          <c:xMode val="edge"/>
          <c:yMode val="edge"/>
          <c:x val="0.4317241379310344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5158371040723981"/>
          <c:w val="0.7641379310344828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AU1 : Observed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B!$G$5:$G$23</c:f>
              <c:numCache>
                <c:formatCode>0.00_)</c:formatCode>
                <c:ptCount val="19"/>
                <c:pt idx="0">
                  <c:v>6.5361750313422576E-2</c:v>
                </c:pt>
                <c:pt idx="1">
                  <c:v>9.4088012525348236E-2</c:v>
                </c:pt>
                <c:pt idx="2">
                  <c:v>0.1649093818786867</c:v>
                </c:pt>
                <c:pt idx="3">
                  <c:v>0.1134953694342217</c:v>
                </c:pt>
                <c:pt idx="4">
                  <c:v>5.339103004812553E-2</c:v>
                </c:pt>
                <c:pt idx="5">
                  <c:v>0.24212630496449802</c:v>
                </c:pt>
                <c:pt idx="6">
                  <c:v>3.2589014899849209E-2</c:v>
                </c:pt>
                <c:pt idx="7">
                  <c:v>3.7265221937847003E-2</c:v>
                </c:pt>
                <c:pt idx="8">
                  <c:v>9.2640202439207578E-2</c:v>
                </c:pt>
                <c:pt idx="9">
                  <c:v>1.5226848615452166E-2</c:v>
                </c:pt>
                <c:pt idx="10">
                  <c:v>5.8328374420096021E-3</c:v>
                </c:pt>
                <c:pt idx="11">
                  <c:v>5.8814829365239844E-2</c:v>
                </c:pt>
                <c:pt idx="12">
                  <c:v>3.2445736008642951E-3</c:v>
                </c:pt>
                <c:pt idx="13">
                  <c:v>4.5028857986353843E-3</c:v>
                </c:pt>
                <c:pt idx="14">
                  <c:v>8.6799276672694398E-3</c:v>
                </c:pt>
                <c:pt idx="15">
                  <c:v>1.6500181987301331E-3</c:v>
                </c:pt>
                <c:pt idx="16">
                  <c:v>1.1924501268133735E-3</c:v>
                </c:pt>
                <c:pt idx="17">
                  <c:v>4.6842953625013724E-3</c:v>
                </c:pt>
                <c:pt idx="18">
                  <c:v>3.0504538127783975E-4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0-A042-BFDA-1348DEF29D7F}"/>
            </c:ext>
          </c:extLst>
        </c:ser>
        <c:ser>
          <c:idx val="1"/>
          <c:order val="1"/>
          <c:tx>
            <c:v>AU1 : Equation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B!$W$5:$W$23</c:f>
              <c:numCache>
                <c:formatCode>0.00_)</c:formatCode>
                <c:ptCount val="19"/>
                <c:pt idx="0">
                  <c:v>0.14258244733184741</c:v>
                </c:pt>
                <c:pt idx="1">
                  <c:v>0.13807132647750306</c:v>
                </c:pt>
                <c:pt idx="2">
                  <c:v>0.12947274687681809</c:v>
                </c:pt>
                <c:pt idx="3">
                  <c:v>0.11756841390731523</c:v>
                </c:pt>
                <c:pt idx="4">
                  <c:v>0.10338091909328379</c:v>
                </c:pt>
                <c:pt idx="5">
                  <c:v>8.8029361317523439E-2</c:v>
                </c:pt>
                <c:pt idx="6">
                  <c:v>7.258587982634189E-2</c:v>
                </c:pt>
                <c:pt idx="7">
                  <c:v>5.7958104316588412E-2</c:v>
                </c:pt>
                <c:pt idx="8">
                  <c:v>4.481399191382919E-2</c:v>
                </c:pt>
                <c:pt idx="9">
                  <c:v>3.3554480792545464E-2</c:v>
                </c:pt>
                <c:pt idx="10">
                  <c:v>2.4329032983686688E-2</c:v>
                </c:pt>
                <c:pt idx="11">
                  <c:v>1.7081916855967636E-2</c:v>
                </c:pt>
                <c:pt idx="12">
                  <c:v>1.1614106189779974E-2</c:v>
                </c:pt>
                <c:pt idx="13">
                  <c:v>7.6466711562657537E-3</c:v>
                </c:pt>
                <c:pt idx="14">
                  <c:v>4.8752452465275712E-3</c:v>
                </c:pt>
                <c:pt idx="15">
                  <c:v>3.0099407981073081E-3</c:v>
                </c:pt>
                <c:pt idx="16">
                  <c:v>1.7995208052689986E-3</c:v>
                </c:pt>
                <c:pt idx="17">
                  <c:v>1.0418212777691281E-3</c:v>
                </c:pt>
                <c:pt idx="18">
                  <c:v>5.8407283303120959E-4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50-A042-BFDA-1348DEF29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963808"/>
        <c:axId val="1"/>
      </c:lineChart>
      <c:catAx>
        <c:axId val="105696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4275862068965516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6380090497737558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696380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206896551724133"/>
          <c:y val="0.47963800904977377"/>
          <c:w val="0.13241379310344828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1968 v 1988 Cumulative Distribution by Mode
Non-Work, All Day</a:t>
            </a:r>
          </a:p>
        </c:rich>
      </c:tx>
      <c:layout>
        <c:manualLayout>
          <c:xMode val="edge"/>
          <c:yMode val="edge"/>
          <c:x val="0.3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103448275862071E-2"/>
          <c:y val="0.15158371040723981"/>
          <c:w val="0.8124137931034483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au1-1968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A!$A$54:$A$72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90</c:v>
                </c:pt>
              </c:numCache>
            </c:numRef>
          </c:cat>
          <c:val>
            <c:numRef>
              <c:f>A!$L$54:$L$72</c:f>
              <c:numCache>
                <c:formatCode>General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6-D44E-B297-2D957D4FB9C2}"/>
            </c:ext>
          </c:extLst>
        </c:ser>
        <c:ser>
          <c:idx val="1"/>
          <c:order val="1"/>
          <c:tx>
            <c:v>au1-1988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A!$A$54:$A$72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90</c:v>
                </c:pt>
              </c:numCache>
            </c:numRef>
          </c:cat>
          <c:val>
            <c:numRef>
              <c:f>A!$BB$54:$BB$71</c:f>
              <c:numCache>
                <c:formatCode>0.00_)</c:formatCode>
                <c:ptCount val="18"/>
                <c:pt idx="0">
                  <c:v>0.57665582522732839</c:v>
                </c:pt>
                <c:pt idx="1">
                  <c:v>0.79172533322908478</c:v>
                </c:pt>
                <c:pt idx="2">
                  <c:v>0.8910779333162534</c:v>
                </c:pt>
                <c:pt idx="3">
                  <c:v>0.93582444629568196</c:v>
                </c:pt>
                <c:pt idx="4">
                  <c:v>0.95330325469661081</c:v>
                </c:pt>
                <c:pt idx="5">
                  <c:v>0.97734291481465763</c:v>
                </c:pt>
                <c:pt idx="6">
                  <c:v>0.98321789227291623</c:v>
                </c:pt>
                <c:pt idx="7">
                  <c:v>0.98891315555971848</c:v>
                </c:pt>
                <c:pt idx="8">
                  <c:v>0.9936547534090131</c:v>
                </c:pt>
                <c:pt idx="9">
                  <c:v>0.99567432661755872</c:v>
                </c:pt>
                <c:pt idx="10">
                  <c:v>0.996380161232575</c:v>
                </c:pt>
                <c:pt idx="11">
                  <c:v>0.99826565291370406</c:v>
                </c:pt>
                <c:pt idx="12">
                  <c:v>0.9987675948693272</c:v>
                </c:pt>
                <c:pt idx="13">
                  <c:v>0.99896734512048446</c:v>
                </c:pt>
                <c:pt idx="14">
                  <c:v>0.99934853100168908</c:v>
                </c:pt>
                <c:pt idx="15">
                  <c:v>0.99959086846725664</c:v>
                </c:pt>
                <c:pt idx="16">
                  <c:v>0.99962514229120591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6-D44E-B297-2D957D4FB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26704"/>
        <c:axId val="1"/>
      </c:lineChart>
      <c:catAx>
        <c:axId val="105862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6206896551724136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Frequency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07239819004524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626704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655172413793105"/>
          <c:y val="0.47963800904977377"/>
          <c:w val="9.7931034482758625E-2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PREDICTED v. MODELED v. OBSERVED</a:t>
            </a:r>
          </a:p>
        </c:rich>
      </c:tx>
      <c:layout>
        <c:manualLayout>
          <c:xMode val="edge"/>
          <c:yMode val="edge"/>
          <c:x val="0.3862068965517241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9310344827586209E-2"/>
          <c:y val="0.12217194570135746"/>
          <c:w val="0.8"/>
          <c:h val="0.80316742081447967"/>
        </c:manualLayout>
      </c:layout>
      <c:lineChart>
        <c:grouping val="standard"/>
        <c:varyColors val="0"/>
        <c:ser>
          <c:idx val="0"/>
          <c:order val="0"/>
          <c:tx>
            <c:v>OBSERVED-AT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A!$BU$7:$BU$24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A!$AX$7:$AX$24</c:f>
              <c:numCache>
                <c:formatCode>0.00_)</c:formatCode>
                <c:ptCount val="18"/>
                <c:pt idx="0">
                  <c:v>6.7481884321931904E-2</c:v>
                </c:pt>
                <c:pt idx="1">
                  <c:v>0.10676637259227441</c:v>
                </c:pt>
                <c:pt idx="2">
                  <c:v>0.13958674164912846</c:v>
                </c:pt>
                <c:pt idx="3">
                  <c:v>0.11121712061984673</c:v>
                </c:pt>
                <c:pt idx="4">
                  <c:v>8.3277624915563134E-2</c:v>
                </c:pt>
                <c:pt idx="5">
                  <c:v>0.14219401216590249</c:v>
                </c:pt>
                <c:pt idx="6">
                  <c:v>6.3218223325964468E-2</c:v>
                </c:pt>
                <c:pt idx="7">
                  <c:v>6.175853650149582E-2</c:v>
                </c:pt>
                <c:pt idx="8">
                  <c:v>7.0718606533825154E-2</c:v>
                </c:pt>
                <c:pt idx="9">
                  <c:v>3.4541453182490287E-2</c:v>
                </c:pt>
                <c:pt idx="10">
                  <c:v>2.2124935670619586E-2</c:v>
                </c:pt>
                <c:pt idx="11">
                  <c:v>4.2937930817430449E-2</c:v>
                </c:pt>
                <c:pt idx="12">
                  <c:v>1.2722792387597704E-2</c:v>
                </c:pt>
                <c:pt idx="13">
                  <c:v>1.1145957608759636E-2</c:v>
                </c:pt>
                <c:pt idx="14">
                  <c:v>1.3247044054041925E-2</c:v>
                </c:pt>
                <c:pt idx="15">
                  <c:v>4.300379011516052E-3</c:v>
                </c:pt>
                <c:pt idx="16">
                  <c:v>3.8912354096885438E-3</c:v>
                </c:pt>
                <c:pt idx="17">
                  <c:v>8.8691492319232252E-3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D5-F749-99D1-945E86BA36DB}"/>
            </c:ext>
          </c:extLst>
        </c:ser>
        <c:ser>
          <c:idx val="1"/>
          <c:order val="1"/>
          <c:tx>
            <c:v>AT-PREDICTED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A!$BU$7:$BU$24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A!$BX$7:$BX$24</c:f>
              <c:numCache>
                <c:formatCode>0.00_)</c:formatCode>
                <c:ptCount val="18"/>
                <c:pt idx="0">
                  <c:v>7.7629151511508801E-2</c:v>
                </c:pt>
                <c:pt idx="1">
                  <c:v>0.11226732063429977</c:v>
                </c:pt>
                <c:pt idx="2">
                  <c:v>0.12297653977598366</c:v>
                </c:pt>
                <c:pt idx="3">
                  <c:v>0.12008153959083091</c:v>
                </c:pt>
                <c:pt idx="4">
                  <c:v>0.109596844794461</c:v>
                </c:pt>
                <c:pt idx="5">
                  <c:v>9.5545864419354865E-2</c:v>
                </c:pt>
                <c:pt idx="6">
                  <c:v>8.0532227501463702E-2</c:v>
                </c:pt>
                <c:pt idx="7">
                  <c:v>6.6123247396014301E-2</c:v>
                </c:pt>
                <c:pt idx="8">
                  <c:v>5.3159329422823628E-2</c:v>
                </c:pt>
                <c:pt idx="9">
                  <c:v>4.1997449799353451E-2</c:v>
                </c:pt>
                <c:pt idx="10">
                  <c:v>3.2693024322728852E-2</c:v>
                </c:pt>
                <c:pt idx="11">
                  <c:v>2.5128886500986453E-2</c:v>
                </c:pt>
                <c:pt idx="12">
                  <c:v>1.9102182715913425E-2</c:v>
                </c:pt>
                <c:pt idx="13">
                  <c:v>1.437974565266349E-2</c:v>
                </c:pt>
                <c:pt idx="14">
                  <c:v>1.0731029780874993E-2</c:v>
                </c:pt>
                <c:pt idx="15">
                  <c:v>7.9458135691036925E-3</c:v>
                </c:pt>
                <c:pt idx="16">
                  <c:v>5.8420559331968831E-3</c:v>
                </c:pt>
                <c:pt idx="17">
                  <c:v>4.2677466784382528E-3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D5-F749-99D1-945E86BA3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703216"/>
        <c:axId val="1"/>
      </c:lineChart>
      <c:catAx>
        <c:axId val="10587032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70321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03448275862069"/>
          <c:y val="0.48642533936651583"/>
          <c:w val="0.12413793103448276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Distribution by Access Mode: Rail Work Trips
1988</a:t>
            </a:r>
          </a:p>
        </c:rich>
      </c:tx>
      <c:layout>
        <c:manualLayout>
          <c:xMode val="edge"/>
          <c:yMode val="edge"/>
          <c:x val="0.3655172413793103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5158371040723981"/>
          <c:w val="0.75034482758620691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AUTO DRIVER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A!$BB$7:$BB$24</c:f>
              <c:numCache>
                <c:formatCode>0.00_)</c:formatCode>
                <c:ptCount val="18"/>
                <c:pt idx="0">
                  <c:v>6.1913794920434185E-3</c:v>
                </c:pt>
                <c:pt idx="1">
                  <c:v>1.8205290336178733E-2</c:v>
                </c:pt>
                <c:pt idx="2">
                  <c:v>5.398355991147645E-2</c:v>
                </c:pt>
                <c:pt idx="3">
                  <c:v>0.13576246179787121</c:v>
                </c:pt>
                <c:pt idx="4">
                  <c:v>0.16974918326483296</c:v>
                </c:pt>
                <c:pt idx="5">
                  <c:v>0.29816102855938453</c:v>
                </c:pt>
                <c:pt idx="6">
                  <c:v>0.39493097270523764</c:v>
                </c:pt>
                <c:pt idx="7">
                  <c:v>0.57384866687743696</c:v>
                </c:pt>
                <c:pt idx="8">
                  <c:v>0.70523764358731156</c:v>
                </c:pt>
                <c:pt idx="9">
                  <c:v>0.80933185794077345</c:v>
                </c:pt>
                <c:pt idx="10">
                  <c:v>0.84007798503530395</c:v>
                </c:pt>
                <c:pt idx="11">
                  <c:v>0.89021498577300018</c:v>
                </c:pt>
                <c:pt idx="12">
                  <c:v>0.93173674781325733</c:v>
                </c:pt>
                <c:pt idx="13">
                  <c:v>0.95328801770471061</c:v>
                </c:pt>
                <c:pt idx="14">
                  <c:v>0.96032247865950038</c:v>
                </c:pt>
                <c:pt idx="15">
                  <c:v>0.97807988196859508</c:v>
                </c:pt>
                <c:pt idx="16">
                  <c:v>0.99799768152597734</c:v>
                </c:pt>
                <c:pt idx="17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9-E542-A057-BD3DDBF026C7}"/>
            </c:ext>
          </c:extLst>
        </c:ser>
        <c:ser>
          <c:idx val="1"/>
          <c:order val="1"/>
          <c:tx>
            <c:v>AUTO PASSENGER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A!$BC$7:$BC$24</c:f>
              <c:numCache>
                <c:formatCode>0.00_)</c:formatCode>
                <c:ptCount val="18"/>
                <c:pt idx="0">
                  <c:v>1.6566840830890786E-2</c:v>
                </c:pt>
                <c:pt idx="1">
                  <c:v>5.4543137504778898E-2</c:v>
                </c:pt>
                <c:pt idx="2">
                  <c:v>0.15275476827662376</c:v>
                </c:pt>
                <c:pt idx="3">
                  <c:v>0.2093793806550274</c:v>
                </c:pt>
                <c:pt idx="4">
                  <c:v>0.26260566670914576</c:v>
                </c:pt>
                <c:pt idx="5">
                  <c:v>0.40758676351896694</c:v>
                </c:pt>
                <c:pt idx="6">
                  <c:v>0.53383458646616544</c:v>
                </c:pt>
                <c:pt idx="7">
                  <c:v>0.6845078798691645</c:v>
                </c:pt>
                <c:pt idx="8">
                  <c:v>0.78178497090183097</c:v>
                </c:pt>
                <c:pt idx="9">
                  <c:v>0.81028843294677388</c:v>
                </c:pt>
                <c:pt idx="10">
                  <c:v>0.84342211460855543</c:v>
                </c:pt>
                <c:pt idx="11">
                  <c:v>0.89788029395522717</c:v>
                </c:pt>
                <c:pt idx="12">
                  <c:v>0.94273820143579301</c:v>
                </c:pt>
                <c:pt idx="13">
                  <c:v>0.97030712374155748</c:v>
                </c:pt>
                <c:pt idx="14">
                  <c:v>0.99307591011426888</c:v>
                </c:pt>
                <c:pt idx="15">
                  <c:v>1.0000000000000002</c:v>
                </c:pt>
                <c:pt idx="16">
                  <c:v>1.0000000000000002</c:v>
                </c:pt>
                <c:pt idx="17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B9-E542-A057-BD3DDBF026C7}"/>
            </c:ext>
          </c:extLst>
        </c:ser>
        <c:ser>
          <c:idx val="2"/>
          <c:order val="2"/>
          <c:tx>
            <c:v>BUS 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A!$BH$7:$BH$24</c:f>
              <c:numCache>
                <c:formatCode>0.00_)</c:formatCode>
                <c:ptCount val="18"/>
                <c:pt idx="0">
                  <c:v>2.6282366968196781E-2</c:v>
                </c:pt>
                <c:pt idx="1">
                  <c:v>2.6282366968196781E-2</c:v>
                </c:pt>
                <c:pt idx="2">
                  <c:v>4.4737046732847771E-2</c:v>
                </c:pt>
                <c:pt idx="3">
                  <c:v>6.5783675902646374E-2</c:v>
                </c:pt>
                <c:pt idx="4">
                  <c:v>0.16153028692879914</c:v>
                </c:pt>
                <c:pt idx="5">
                  <c:v>0.24180296000622067</c:v>
                </c:pt>
                <c:pt idx="6">
                  <c:v>0.35735206448770118</c:v>
                </c:pt>
                <c:pt idx="7">
                  <c:v>0.47456001658847619</c:v>
                </c:pt>
                <c:pt idx="8">
                  <c:v>0.62043492911018383</c:v>
                </c:pt>
                <c:pt idx="9">
                  <c:v>0.69474611855576585</c:v>
                </c:pt>
                <c:pt idx="10">
                  <c:v>0.81312044788885729</c:v>
                </c:pt>
                <c:pt idx="11">
                  <c:v>0.85018532438246819</c:v>
                </c:pt>
                <c:pt idx="12">
                  <c:v>0.86809569477203818</c:v>
                </c:pt>
                <c:pt idx="13">
                  <c:v>0.91301417796324624</c:v>
                </c:pt>
                <c:pt idx="14">
                  <c:v>0.91301417796324624</c:v>
                </c:pt>
                <c:pt idx="15">
                  <c:v>0.9634275938933673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B9-E542-A057-BD3DDBF026C7}"/>
            </c:ext>
          </c:extLst>
        </c:ser>
        <c:ser>
          <c:idx val="3"/>
          <c:order val="3"/>
          <c:tx>
            <c:v>WALK</c:v>
          </c:tx>
          <c:spPr>
            <a:ln w="3175">
              <a:solidFill>
                <a:srgbClr val="FFFF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A!$BK$7:$BK$24</c:f>
              <c:numCache>
                <c:formatCode>0.00_)</c:formatCode>
                <c:ptCount val="18"/>
                <c:pt idx="0">
                  <c:v>1.5941073498988337E-2</c:v>
                </c:pt>
                <c:pt idx="1">
                  <c:v>5.7085047855048081E-2</c:v>
                </c:pt>
                <c:pt idx="2">
                  <c:v>0.14149635119467116</c:v>
                </c:pt>
                <c:pt idx="3">
                  <c:v>0.27979175665537548</c:v>
                </c:pt>
                <c:pt idx="4">
                  <c:v>0.40222793097960763</c:v>
                </c:pt>
                <c:pt idx="5">
                  <c:v>0.51889876554436543</c:v>
                </c:pt>
                <c:pt idx="6">
                  <c:v>0.61036669925205178</c:v>
                </c:pt>
                <c:pt idx="7">
                  <c:v>0.69560097301475443</c:v>
                </c:pt>
                <c:pt idx="8">
                  <c:v>0.75868779412099041</c:v>
                </c:pt>
                <c:pt idx="9">
                  <c:v>0.80330552208607098</c:v>
                </c:pt>
                <c:pt idx="10">
                  <c:v>0.85562097892559175</c:v>
                </c:pt>
                <c:pt idx="11">
                  <c:v>0.90405347034351069</c:v>
                </c:pt>
                <c:pt idx="12">
                  <c:v>0.92907904608179703</c:v>
                </c:pt>
                <c:pt idx="13">
                  <c:v>0.94806192738763739</c:v>
                </c:pt>
                <c:pt idx="14">
                  <c:v>0.97088685293382149</c:v>
                </c:pt>
                <c:pt idx="15">
                  <c:v>0.98062609407324908</c:v>
                </c:pt>
                <c:pt idx="16">
                  <c:v>0.98997431059176588</c:v>
                </c:pt>
                <c:pt idx="17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B9-E542-A057-BD3DDBF02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752144"/>
        <c:axId val="1"/>
      </c:lineChart>
      <c:catAx>
        <c:axId val="1058752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3586206896551727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09502262443438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752144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827586206896555"/>
          <c:y val="0.4434389140271493"/>
          <c:w val="0.14620689655172414"/>
          <c:h val="0.147058823529411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Work Trip Travel Time Distribution
Afternoon Peak Period, All Modes, Metropolitan Washington</a:t>
            </a:r>
          </a:p>
        </c:rich>
      </c:tx>
      <c:layout>
        <c:manualLayout>
          <c:xMode val="edge"/>
          <c:yMode val="edge"/>
          <c:x val="0.3227586206896551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37931034482758E-2"/>
          <c:y val="0.15158371040723981"/>
          <c:w val="0.8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TRAVEL2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A!$CI$5:$CI$22</c:f>
              <c:numCache>
                <c:formatCode>General</c:formatCode>
                <c:ptCount val="18"/>
                <c:pt idx="0">
                  <c:v>7.9000000000000001E-2</c:v>
                </c:pt>
                <c:pt idx="1">
                  <c:v>7.0699999999999999E-2</c:v>
                </c:pt>
                <c:pt idx="2">
                  <c:v>0.1041</c:v>
                </c:pt>
                <c:pt idx="3">
                  <c:v>0.12909999999999999</c:v>
                </c:pt>
                <c:pt idx="4">
                  <c:v>0.1232</c:v>
                </c:pt>
                <c:pt idx="5">
                  <c:v>0.11210000000000001</c:v>
                </c:pt>
                <c:pt idx="6">
                  <c:v>9.7000000000000003E-2</c:v>
                </c:pt>
                <c:pt idx="7">
                  <c:v>7.2700000000000001E-2</c:v>
                </c:pt>
                <c:pt idx="8">
                  <c:v>5.5800000000000002E-2</c:v>
                </c:pt>
                <c:pt idx="9">
                  <c:v>4.5200000000000004E-2</c:v>
                </c:pt>
                <c:pt idx="10">
                  <c:v>3.0800000000000001E-2</c:v>
                </c:pt>
                <c:pt idx="11">
                  <c:v>2.35E-2</c:v>
                </c:pt>
                <c:pt idx="12">
                  <c:v>1.8000000000000002E-2</c:v>
                </c:pt>
                <c:pt idx="13">
                  <c:v>1.34E-2</c:v>
                </c:pt>
                <c:pt idx="14">
                  <c:v>9.6000000000000009E-3</c:v>
                </c:pt>
                <c:pt idx="15">
                  <c:v>5.8000000000000005E-3</c:v>
                </c:pt>
                <c:pt idx="16">
                  <c:v>3.7000000000000002E-3</c:v>
                </c:pt>
                <c:pt idx="17">
                  <c:v>3.5000000000000001E-3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7-5141-8D2A-A9050A2586ED}"/>
            </c:ext>
          </c:extLst>
        </c:ser>
        <c:ser>
          <c:idx val="1"/>
          <c:order val="1"/>
          <c:tx>
            <c:v>OBSERVED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A!$BR$7:$BR$24</c:f>
              <c:numCache>
                <c:formatCode>0.00_)</c:formatCode>
                <c:ptCount val="18"/>
                <c:pt idx="0">
                  <c:v>6.7481884321931904E-2</c:v>
                </c:pt>
                <c:pt idx="1">
                  <c:v>0.10676637259227441</c:v>
                </c:pt>
                <c:pt idx="2">
                  <c:v>0.13958674164912846</c:v>
                </c:pt>
                <c:pt idx="3">
                  <c:v>0.11121712061984673</c:v>
                </c:pt>
                <c:pt idx="4">
                  <c:v>8.3277624915563134E-2</c:v>
                </c:pt>
                <c:pt idx="5">
                  <c:v>0.14219401216590249</c:v>
                </c:pt>
                <c:pt idx="6">
                  <c:v>6.3218223325964468E-2</c:v>
                </c:pt>
                <c:pt idx="7">
                  <c:v>6.175853650149582E-2</c:v>
                </c:pt>
                <c:pt idx="8">
                  <c:v>7.0718606533825154E-2</c:v>
                </c:pt>
                <c:pt idx="9">
                  <c:v>3.4541453182490287E-2</c:v>
                </c:pt>
                <c:pt idx="10">
                  <c:v>2.2124935670619586E-2</c:v>
                </c:pt>
                <c:pt idx="11">
                  <c:v>4.2937930817430449E-2</c:v>
                </c:pt>
                <c:pt idx="12">
                  <c:v>1.2722792387597704E-2</c:v>
                </c:pt>
                <c:pt idx="13">
                  <c:v>1.1145957608759636E-2</c:v>
                </c:pt>
                <c:pt idx="14">
                  <c:v>1.3247044054041925E-2</c:v>
                </c:pt>
                <c:pt idx="15">
                  <c:v>4.300379011516052E-3</c:v>
                </c:pt>
                <c:pt idx="16">
                  <c:v>3.8912354096885438E-3</c:v>
                </c:pt>
                <c:pt idx="17">
                  <c:v>8.8691492319232252E-3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97-5141-8D2A-A9050A258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783904"/>
        <c:axId val="1"/>
      </c:lineChart>
      <c:catAx>
        <c:axId val="1058783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5655172413793105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63800904977375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783904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241379310344826"/>
          <c:y val="0.47963800904977377"/>
          <c:w val="0.10206896551724139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Work Trip Travel Time Distribution
Afternoon Peak Period, All Modes, Metropolitan Washington, Cumulative</a:t>
            </a:r>
          </a:p>
        </c:rich>
      </c:tx>
      <c:layout>
        <c:manualLayout>
          <c:xMode val="edge"/>
          <c:yMode val="edge"/>
          <c:x val="0.28689655172413792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103448275862071E-2"/>
          <c:y val="0.15158371040723981"/>
          <c:w val="0.80827586206896551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TRAVEL2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A!$CK$5:$CK$24</c:f>
              <c:numCache>
                <c:formatCode>General</c:formatCode>
                <c:ptCount val="20"/>
                <c:pt idx="0">
                  <c:v>7.9000000000000001E-2</c:v>
                </c:pt>
                <c:pt idx="1">
                  <c:v>0.1497</c:v>
                </c:pt>
                <c:pt idx="2">
                  <c:v>0.25380000000000003</c:v>
                </c:pt>
                <c:pt idx="3">
                  <c:v>0.38300000000000001</c:v>
                </c:pt>
                <c:pt idx="4">
                  <c:v>0.50619999999999998</c:v>
                </c:pt>
                <c:pt idx="5">
                  <c:v>0.61829999999999996</c:v>
                </c:pt>
                <c:pt idx="6">
                  <c:v>0.71530000000000005</c:v>
                </c:pt>
                <c:pt idx="7">
                  <c:v>0.78800000000000003</c:v>
                </c:pt>
                <c:pt idx="8">
                  <c:v>0.84379999999999999</c:v>
                </c:pt>
                <c:pt idx="9">
                  <c:v>0.88890000000000002</c:v>
                </c:pt>
                <c:pt idx="10">
                  <c:v>0.91979999999999995</c:v>
                </c:pt>
                <c:pt idx="11">
                  <c:v>0.94320000000000004</c:v>
                </c:pt>
                <c:pt idx="12">
                  <c:v>0.96130000000000004</c:v>
                </c:pt>
                <c:pt idx="13">
                  <c:v>0.97470000000000001</c:v>
                </c:pt>
                <c:pt idx="14">
                  <c:v>0.98429999999999995</c:v>
                </c:pt>
                <c:pt idx="15">
                  <c:v>0.99009999999999998</c:v>
                </c:pt>
                <c:pt idx="16">
                  <c:v>0.99380000000000002</c:v>
                </c:pt>
                <c:pt idx="17">
                  <c:v>0.99729999999999996</c:v>
                </c:pt>
                <c:pt idx="18">
                  <c:v>0.99860000000000004</c:v>
                </c:pt>
                <c:pt idx="19">
                  <c:v>0.99950000000000006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5C-7041-8EA6-09D094DEC504}"/>
            </c:ext>
          </c:extLst>
        </c:ser>
        <c:ser>
          <c:idx val="1"/>
          <c:order val="1"/>
          <c:tx>
            <c:v>OBSERVED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A!$BO$7:$BO$24</c:f>
              <c:numCache>
                <c:formatCode>0.00_)</c:formatCode>
                <c:ptCount val="18"/>
                <c:pt idx="0">
                  <c:v>6.7481884321931904E-2</c:v>
                </c:pt>
                <c:pt idx="1">
                  <c:v>0.17424825691420631</c:v>
                </c:pt>
                <c:pt idx="2">
                  <c:v>0.31383499856333474</c:v>
                </c:pt>
                <c:pt idx="3">
                  <c:v>0.42505211918318148</c:v>
                </c:pt>
                <c:pt idx="4">
                  <c:v>0.50832974409874465</c:v>
                </c:pt>
                <c:pt idx="5">
                  <c:v>0.65052375626464709</c:v>
                </c:pt>
                <c:pt idx="6">
                  <c:v>0.71374197959061159</c:v>
                </c:pt>
                <c:pt idx="7">
                  <c:v>0.77550051609210735</c:v>
                </c:pt>
                <c:pt idx="8">
                  <c:v>0.84621912262593246</c:v>
                </c:pt>
                <c:pt idx="9">
                  <c:v>0.88076057580842271</c:v>
                </c:pt>
                <c:pt idx="10">
                  <c:v>0.90288551147904228</c:v>
                </c:pt>
                <c:pt idx="11">
                  <c:v>0.94582344229647275</c:v>
                </c:pt>
                <c:pt idx="12">
                  <c:v>0.95854623468407041</c:v>
                </c:pt>
                <c:pt idx="13">
                  <c:v>0.96969219229282999</c:v>
                </c:pt>
                <c:pt idx="14">
                  <c:v>0.98293923634687197</c:v>
                </c:pt>
                <c:pt idx="15">
                  <c:v>0.987239615358388</c:v>
                </c:pt>
                <c:pt idx="16">
                  <c:v>0.9911308507680765</c:v>
                </c:pt>
                <c:pt idx="17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5C-7041-8EA6-09D094DEC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826608"/>
        <c:axId val="1"/>
      </c:lineChart>
      <c:catAx>
        <c:axId val="1058826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5241379310344826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63800904977375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82660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241379310344826"/>
          <c:y val="0.47963800904977377"/>
          <c:w val="0.10206896551724139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Work Trip Travel Time Distribution
Afternoon Peak Period, Auto Modes, Metropolitan Washington</a:t>
            </a:r>
          </a:p>
        </c:rich>
      </c:tx>
      <c:layout>
        <c:manualLayout>
          <c:xMode val="edge"/>
          <c:yMode val="edge"/>
          <c:x val="0.31586206896551722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793103448275864E-2"/>
          <c:y val="0.15158371040723981"/>
          <c:w val="0.75034482758620691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MODEL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A!$DB$4:$DB$22</c:f>
              <c:numCache>
                <c:formatCode>General</c:formatCode>
                <c:ptCount val="19"/>
                <c:pt idx="0">
                  <c:v>9.6700000000000008E-2</c:v>
                </c:pt>
                <c:pt idx="1">
                  <c:v>0.20380000000000001</c:v>
                </c:pt>
                <c:pt idx="2">
                  <c:v>0.3266</c:v>
                </c:pt>
                <c:pt idx="3">
                  <c:v>0.45860000000000001</c:v>
                </c:pt>
                <c:pt idx="4">
                  <c:v>0.57799999999999996</c:v>
                </c:pt>
                <c:pt idx="5">
                  <c:v>0.6804</c:v>
                </c:pt>
                <c:pt idx="6">
                  <c:v>0.76119999999999999</c:v>
                </c:pt>
                <c:pt idx="7">
                  <c:v>0.82779999999999998</c:v>
                </c:pt>
                <c:pt idx="8">
                  <c:v>0.87590000000000001</c:v>
                </c:pt>
                <c:pt idx="9">
                  <c:v>0.9113</c:v>
                </c:pt>
                <c:pt idx="10">
                  <c:v>0.93820000000000003</c:v>
                </c:pt>
                <c:pt idx="11">
                  <c:v>0.95840000000000003</c:v>
                </c:pt>
                <c:pt idx="12">
                  <c:v>0.97289999999999999</c:v>
                </c:pt>
                <c:pt idx="13">
                  <c:v>0.98380000000000001</c:v>
                </c:pt>
                <c:pt idx="14">
                  <c:v>0.99070000000000003</c:v>
                </c:pt>
                <c:pt idx="15">
                  <c:v>0.99550000000000005</c:v>
                </c:pt>
                <c:pt idx="16">
                  <c:v>0.99870000000000003</c:v>
                </c:pt>
                <c:pt idx="17">
                  <c:v>0.99980000000000002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34-8149-9D2F-B19BCC937D86}"/>
            </c:ext>
          </c:extLst>
        </c:ser>
        <c:ser>
          <c:idx val="1"/>
          <c:order val="1"/>
          <c:tx>
            <c:v>1988-OBSERVED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A!$BD$7:$BD$24</c:f>
              <c:numCache>
                <c:formatCode>0.00_)</c:formatCode>
                <c:ptCount val="18"/>
                <c:pt idx="0">
                  <c:v>6.6282670107822766E-2</c:v>
                </c:pt>
                <c:pt idx="1">
                  <c:v>0.18321325429071822</c:v>
                </c:pt>
                <c:pt idx="2">
                  <c:v>0.33778059318281478</c:v>
                </c:pt>
                <c:pt idx="3">
                  <c:v>0.45917107805146673</c:v>
                </c:pt>
                <c:pt idx="4">
                  <c:v>0.540796874757977</c:v>
                </c:pt>
                <c:pt idx="5">
                  <c:v>0.69445567579780154</c:v>
                </c:pt>
                <c:pt idx="6">
                  <c:v>0.75212779992297996</c:v>
                </c:pt>
                <c:pt idx="7">
                  <c:v>0.80467664651788584</c:v>
                </c:pt>
                <c:pt idx="8">
                  <c:v>0.87035255648450871</c:v>
                </c:pt>
                <c:pt idx="9">
                  <c:v>0.90146236671706981</c:v>
                </c:pt>
                <c:pt idx="10">
                  <c:v>0.91647861197208269</c:v>
                </c:pt>
                <c:pt idx="11">
                  <c:v>0.9563463852638473</c:v>
                </c:pt>
                <c:pt idx="12">
                  <c:v>0.96607217347785201</c:v>
                </c:pt>
                <c:pt idx="13">
                  <c:v>0.97505072803205151</c:v>
                </c:pt>
                <c:pt idx="14">
                  <c:v>0.98804052260421882</c:v>
                </c:pt>
                <c:pt idx="15">
                  <c:v>0.99158440775990675</c:v>
                </c:pt>
                <c:pt idx="16">
                  <c:v>0.99295869811493087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34-8149-9D2F-B19BCC937D86}"/>
            </c:ext>
          </c:extLst>
        </c:ser>
        <c:ser>
          <c:idx val="2"/>
          <c:order val="2"/>
          <c:tx>
            <c:v>1968-OBSERVED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A!$L$5:$L$23</c:f>
              <c:numCache>
                <c:formatCode>General</c:formatCode>
                <c:ptCount val="19"/>
                <c:pt idx="1">
                  <c:v>0</c:v>
                </c:pt>
                <c:pt idx="2">
                  <c:v>32122</c:v>
                </c:pt>
                <c:pt idx="3">
                  <c:v>50544</c:v>
                </c:pt>
                <c:pt idx="4">
                  <c:v>63798</c:v>
                </c:pt>
                <c:pt idx="5">
                  <c:v>50452</c:v>
                </c:pt>
                <c:pt idx="6">
                  <c:v>38971</c:v>
                </c:pt>
                <c:pt idx="7">
                  <c:v>72864</c:v>
                </c:pt>
                <c:pt idx="8">
                  <c:v>34692</c:v>
                </c:pt>
                <c:pt idx="9">
                  <c:v>35242</c:v>
                </c:pt>
                <c:pt idx="10">
                  <c:v>42398</c:v>
                </c:pt>
                <c:pt idx="11">
                  <c:v>19601</c:v>
                </c:pt>
                <c:pt idx="12">
                  <c:v>10551</c:v>
                </c:pt>
                <c:pt idx="13">
                  <c:v>27075</c:v>
                </c:pt>
                <c:pt idx="14">
                  <c:v>6868</c:v>
                </c:pt>
                <c:pt idx="15">
                  <c:v>5916</c:v>
                </c:pt>
                <c:pt idx="16">
                  <c:v>6643</c:v>
                </c:pt>
                <c:pt idx="17">
                  <c:v>1362</c:v>
                </c:pt>
                <c:pt idx="18">
                  <c:v>2072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34-8149-9D2F-B19BCC937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873264"/>
        <c:axId val="1"/>
      </c:lineChart>
      <c:catAx>
        <c:axId val="1058873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4413793103448274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63800904977375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873264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517241379310349"/>
          <c:y val="0.46153846153846156"/>
          <c:w val="0.1393103448275862"/>
          <c:h val="0.110859728506787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Work Trip Travel Time Distribution
Afternoon Peak Period, Transit Modes, Metropolitan Washington</a:t>
            </a:r>
          </a:p>
        </c:rich>
      </c:tx>
      <c:layout>
        <c:manualLayout>
          <c:xMode val="edge"/>
          <c:yMode val="edge"/>
          <c:x val="0.3103448275862069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37931034482758E-2"/>
          <c:y val="0.15158371040723981"/>
          <c:w val="0.81931034482758625"/>
          <c:h val="0.72850678733031671"/>
        </c:manualLayout>
      </c:layout>
      <c:barChart>
        <c:barDir val="col"/>
        <c:grouping val="stacked"/>
        <c:varyColors val="0"/>
        <c:ser>
          <c:idx val="0"/>
          <c:order val="0"/>
          <c:tx>
            <c:v>TRAVEL2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A!$DG$4:$DG$22</c:f>
              <c:numCache>
                <c:formatCode>General</c:formatCode>
                <c:ptCount val="19"/>
                <c:pt idx="0">
                  <c:v>4.4999999999999998E-2</c:v>
                </c:pt>
                <c:pt idx="1">
                  <c:v>3.0100000000000002E-2</c:v>
                </c:pt>
                <c:pt idx="2">
                  <c:v>5.45E-2</c:v>
                </c:pt>
                <c:pt idx="3">
                  <c:v>7.2599999999999998E-2</c:v>
                </c:pt>
                <c:pt idx="4">
                  <c:v>9.7900000000000001E-2</c:v>
                </c:pt>
                <c:pt idx="5">
                  <c:v>9.6300000000000011E-2</c:v>
                </c:pt>
                <c:pt idx="6">
                  <c:v>9.870000000000001E-2</c:v>
                </c:pt>
                <c:pt idx="7">
                  <c:v>8.7800000000000003E-2</c:v>
                </c:pt>
                <c:pt idx="8">
                  <c:v>7.5800000000000006E-2</c:v>
                </c:pt>
                <c:pt idx="9">
                  <c:v>6.5500000000000003E-2</c:v>
                </c:pt>
                <c:pt idx="10">
                  <c:v>4.5600000000000002E-2</c:v>
                </c:pt>
                <c:pt idx="11">
                  <c:v>3.9800000000000002E-2</c:v>
                </c:pt>
                <c:pt idx="12">
                  <c:v>3.0100000000000002E-2</c:v>
                </c:pt>
                <c:pt idx="13">
                  <c:v>2.7E-2</c:v>
                </c:pt>
                <c:pt idx="14">
                  <c:v>1.95E-2</c:v>
                </c:pt>
                <c:pt idx="15">
                  <c:v>1.6500000000000001E-2</c:v>
                </c:pt>
                <c:pt idx="16">
                  <c:v>1.4100000000000001E-2</c:v>
                </c:pt>
                <c:pt idx="17">
                  <c:v>1.03E-2</c:v>
                </c:pt>
                <c:pt idx="18">
                  <c:v>8.6E-3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7-1B46-B8E9-E979328B6F09}"/>
            </c:ext>
          </c:extLst>
        </c:ser>
        <c:ser>
          <c:idx val="1"/>
          <c:order val="1"/>
          <c:tx>
            <c:v>OBSERVED</c:v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A!$AY$7:$AY$24</c:f>
              <c:numCache>
                <c:formatCode>0.00_)</c:formatCode>
                <c:ptCount val="18"/>
                <c:pt idx="0">
                  <c:v>7.9647778717476747E-2</c:v>
                </c:pt>
                <c:pt idx="1">
                  <c:v>8.5429691170699082E-2</c:v>
                </c:pt>
                <c:pt idx="2">
                  <c:v>0.1142692366512077</c:v>
                </c:pt>
                <c:pt idx="3">
                  <c:v>9.8524672625463633E-2</c:v>
                </c:pt>
                <c:pt idx="4">
                  <c:v>0.10135298225442994</c:v>
                </c:pt>
                <c:pt idx="5">
                  <c:v>0.10047961498138107</c:v>
                </c:pt>
                <c:pt idx="6">
                  <c:v>7.2922482205602449E-2</c:v>
                </c:pt>
                <c:pt idx="7">
                  <c:v>7.9340073370221129E-2</c:v>
                </c:pt>
                <c:pt idx="8">
                  <c:v>6.4338055781267556E-2</c:v>
                </c:pt>
                <c:pt idx="9">
                  <c:v>3.8848260727769209E-2</c:v>
                </c:pt>
                <c:pt idx="10">
                  <c:v>4.9208902450034731E-2</c:v>
                </c:pt>
                <c:pt idx="11">
                  <c:v>3.4182931750216958E-2</c:v>
                </c:pt>
                <c:pt idx="12">
                  <c:v>2.1583595435642599E-2</c:v>
                </c:pt>
                <c:pt idx="13">
                  <c:v>1.7699506381661498E-2</c:v>
                </c:pt>
                <c:pt idx="14">
                  <c:v>1.4467678961982727E-2</c:v>
                </c:pt>
                <c:pt idx="15">
                  <c:v>9.9460686496157368E-3</c:v>
                </c:pt>
                <c:pt idx="16">
                  <c:v>1.2227141822684333E-2</c:v>
                </c:pt>
                <c:pt idx="17">
                  <c:v>5.5313260626429122E-3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7-1B46-B8E9-E979328B6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8911072"/>
        <c:axId val="1"/>
      </c:barChart>
      <c:catAx>
        <c:axId val="1058911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6620689655172415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63800904977375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91107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172413793103446"/>
          <c:y val="0.47963800904977377"/>
          <c:w val="8.2758620689655171E-2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Work Trip Travel Time Distribution
Afternoon Peak Period, Transit Modes, Metropolitan Washington</a:t>
            </a:r>
          </a:p>
        </c:rich>
      </c:tx>
      <c:layout>
        <c:manualLayout>
          <c:xMode val="edge"/>
          <c:yMode val="edge"/>
          <c:x val="0.3103448275862069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37931034482758E-2"/>
          <c:y val="0.15158371040723981"/>
          <c:w val="0.8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TRAVEL2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A!$DG$4:$DG$22</c:f>
              <c:numCache>
                <c:formatCode>General</c:formatCode>
                <c:ptCount val="19"/>
                <c:pt idx="0">
                  <c:v>4.4999999999999998E-2</c:v>
                </c:pt>
                <c:pt idx="1">
                  <c:v>3.0100000000000002E-2</c:v>
                </c:pt>
                <c:pt idx="2">
                  <c:v>5.45E-2</c:v>
                </c:pt>
                <c:pt idx="3">
                  <c:v>7.2599999999999998E-2</c:v>
                </c:pt>
                <c:pt idx="4">
                  <c:v>9.7900000000000001E-2</c:v>
                </c:pt>
                <c:pt idx="5">
                  <c:v>9.6300000000000011E-2</c:v>
                </c:pt>
                <c:pt idx="6">
                  <c:v>9.870000000000001E-2</c:v>
                </c:pt>
                <c:pt idx="7">
                  <c:v>8.7800000000000003E-2</c:v>
                </c:pt>
                <c:pt idx="8">
                  <c:v>7.5800000000000006E-2</c:v>
                </c:pt>
                <c:pt idx="9">
                  <c:v>6.5500000000000003E-2</c:v>
                </c:pt>
                <c:pt idx="10">
                  <c:v>4.5600000000000002E-2</c:v>
                </c:pt>
                <c:pt idx="11">
                  <c:v>3.9800000000000002E-2</c:v>
                </c:pt>
                <c:pt idx="12">
                  <c:v>3.0100000000000002E-2</c:v>
                </c:pt>
                <c:pt idx="13">
                  <c:v>2.7E-2</c:v>
                </c:pt>
                <c:pt idx="14">
                  <c:v>1.95E-2</c:v>
                </c:pt>
                <c:pt idx="15">
                  <c:v>1.6500000000000001E-2</c:v>
                </c:pt>
                <c:pt idx="16">
                  <c:v>1.4100000000000001E-2</c:v>
                </c:pt>
                <c:pt idx="17">
                  <c:v>1.03E-2</c:v>
                </c:pt>
                <c:pt idx="18">
                  <c:v>8.6E-3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3-2143-9ED1-4DCD5C80B849}"/>
            </c:ext>
          </c:extLst>
        </c:ser>
        <c:ser>
          <c:idx val="1"/>
          <c:order val="1"/>
          <c:tx>
            <c:v>OBSERVED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A!$AW$7:$AW$24</c:f>
              <c:numCache>
                <c:formatCode>0.00_)</c:formatCode>
                <c:ptCount val="18"/>
                <c:pt idx="0">
                  <c:v>2.5721600369582584E-2</c:v>
                </c:pt>
                <c:pt idx="1">
                  <c:v>4.5281084878875083E-2</c:v>
                </c:pt>
                <c:pt idx="2">
                  <c:v>8.0504518724555107E-2</c:v>
                </c:pt>
                <c:pt idx="3">
                  <c:v>0.10153415270305387</c:v>
                </c:pt>
                <c:pt idx="4">
                  <c:v>0.11633429899615981</c:v>
                </c:pt>
                <c:pt idx="5">
                  <c:v>0.10351680927036314</c:v>
                </c:pt>
                <c:pt idx="6">
                  <c:v>8.9643025572419904E-2</c:v>
                </c:pt>
                <c:pt idx="7">
                  <c:v>0.10096389832629138</c:v>
                </c:pt>
                <c:pt idx="8">
                  <c:v>7.7128709059585562E-2</c:v>
                </c:pt>
                <c:pt idx="9">
                  <c:v>4.8911945024590717E-2</c:v>
                </c:pt>
                <c:pt idx="10">
                  <c:v>6.4260690464961842E-2</c:v>
                </c:pt>
                <c:pt idx="11">
                  <c:v>4.2295069344857127E-2</c:v>
                </c:pt>
                <c:pt idx="12">
                  <c:v>2.7013695729588744E-2</c:v>
                </c:pt>
                <c:pt idx="13">
                  <c:v>2.2793332114224116E-2</c:v>
                </c:pt>
                <c:pt idx="14">
                  <c:v>1.7918499340718569E-2</c:v>
                </c:pt>
                <c:pt idx="15">
                  <c:v>1.298832542516434E-2</c:v>
                </c:pt>
                <c:pt idx="16">
                  <c:v>1.5967122549349861E-2</c:v>
                </c:pt>
                <c:pt idx="17">
                  <c:v>7.2232221056582708E-3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3-2143-9ED1-4DCD5C80B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936512"/>
        <c:axId val="1"/>
      </c:lineChart>
      <c:catAx>
        <c:axId val="105893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5655172413793105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63800904977375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93651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241379310344826"/>
          <c:y val="0.47963800904977377"/>
          <c:w val="0.10206896551724139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Work Trip Travel Time Distribution
Afternoon Peak Period, Transit Modes, Metropolitan Washington</a:t>
            </a:r>
          </a:p>
        </c:rich>
      </c:tx>
      <c:layout>
        <c:manualLayout>
          <c:xMode val="edge"/>
          <c:yMode val="edge"/>
          <c:x val="0.3103448275862069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103448275862071E-2"/>
          <c:y val="0.15158371040723981"/>
          <c:w val="0.80827586206896551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TRAVEL2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A!$DK$4:$DK$20</c:f>
              <c:numCache>
                <c:formatCode>General</c:formatCode>
                <c:ptCount val="17"/>
                <c:pt idx="0">
                  <c:v>4.9083769633507864E-2</c:v>
                </c:pt>
                <c:pt idx="1">
                  <c:v>8.1915357766143115E-2</c:v>
                </c:pt>
                <c:pt idx="2">
                  <c:v>0.14136125654450263</c:v>
                </c:pt>
                <c:pt idx="3">
                  <c:v>0.22054973821989532</c:v>
                </c:pt>
                <c:pt idx="4">
                  <c:v>0.32744328097731246</c:v>
                </c:pt>
                <c:pt idx="5">
                  <c:v>0.43248254799301927</c:v>
                </c:pt>
                <c:pt idx="6">
                  <c:v>0.54013961605584648</c:v>
                </c:pt>
                <c:pt idx="7">
                  <c:v>0.63590750436300181</c:v>
                </c:pt>
                <c:pt idx="8">
                  <c:v>0.71847731239092505</c:v>
                </c:pt>
                <c:pt idx="9">
                  <c:v>0.78992146596858648</c:v>
                </c:pt>
                <c:pt idx="10">
                  <c:v>0.83965968586387452</c:v>
                </c:pt>
                <c:pt idx="11">
                  <c:v>0.88307155322862141</c:v>
                </c:pt>
                <c:pt idx="12">
                  <c:v>0.91590314136125672</c:v>
                </c:pt>
                <c:pt idx="13">
                  <c:v>0.9453534031413614</c:v>
                </c:pt>
                <c:pt idx="14">
                  <c:v>0.96673211169284479</c:v>
                </c:pt>
                <c:pt idx="15">
                  <c:v>0.98472949389179776</c:v>
                </c:pt>
                <c:pt idx="16">
                  <c:v>1.0001090750436303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9-1145-AAD4-0F887489FD9B}"/>
            </c:ext>
          </c:extLst>
        </c:ser>
        <c:ser>
          <c:idx val="1"/>
          <c:order val="1"/>
          <c:tx>
            <c:v>OBSERVED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A!$CF$5:$CF$22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cat>
          <c:val>
            <c:numRef>
              <c:f>A!$BN$7:$BN$24</c:f>
              <c:numCache>
                <c:formatCode>0.00_)</c:formatCode>
                <c:ptCount val="18"/>
                <c:pt idx="0">
                  <c:v>2.5721600369582584E-2</c:v>
                </c:pt>
                <c:pt idx="1">
                  <c:v>7.1002685248457667E-2</c:v>
                </c:pt>
                <c:pt idx="2">
                  <c:v>0.15150720397301276</c:v>
                </c:pt>
                <c:pt idx="3">
                  <c:v>0.25304135667606664</c:v>
                </c:pt>
                <c:pt idx="4">
                  <c:v>0.36937565567222647</c:v>
                </c:pt>
                <c:pt idx="5">
                  <c:v>0.47289246494258963</c:v>
                </c:pt>
                <c:pt idx="6">
                  <c:v>0.56253549051500951</c:v>
                </c:pt>
                <c:pt idx="7">
                  <c:v>0.66349938884130089</c:v>
                </c:pt>
                <c:pt idx="8">
                  <c:v>0.74062809790088646</c:v>
                </c:pt>
                <c:pt idx="9">
                  <c:v>0.78954004292547719</c:v>
                </c:pt>
                <c:pt idx="10">
                  <c:v>0.85380073339043905</c:v>
                </c:pt>
                <c:pt idx="11">
                  <c:v>0.89609580273529621</c:v>
                </c:pt>
                <c:pt idx="12">
                  <c:v>0.92310949846488499</c:v>
                </c:pt>
                <c:pt idx="13">
                  <c:v>0.94590283057910907</c:v>
                </c:pt>
                <c:pt idx="14">
                  <c:v>0.96382132991982761</c:v>
                </c:pt>
                <c:pt idx="15">
                  <c:v>0.97680965534499198</c:v>
                </c:pt>
                <c:pt idx="16">
                  <c:v>0.99277677789434182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9-1145-AAD4-0F887489F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892976"/>
        <c:axId val="1"/>
      </c:lineChart>
      <c:catAx>
        <c:axId val="105889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5241379310344826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63800904977375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889297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241379310344826"/>
          <c:y val="0.47963800904977377"/>
          <c:w val="0.10206896551724139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Transit Distribution by Purpose
1968 v. 1988</a:t>
            </a:r>
          </a:p>
        </c:rich>
      </c:tx>
      <c:layout>
        <c:manualLayout>
          <c:xMode val="edge"/>
          <c:yMode val="edge"/>
          <c:x val="0.4068965517241379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"/>
          <c:y val="0.15158371040723981"/>
          <c:w val="0.783448275862069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WK-88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A!$BN$7:$BN$24</c:f>
              <c:numCache>
                <c:formatCode>0.00_)</c:formatCode>
                <c:ptCount val="18"/>
                <c:pt idx="0">
                  <c:v>2.5721600369582584E-2</c:v>
                </c:pt>
                <c:pt idx="1">
                  <c:v>7.1002685248457667E-2</c:v>
                </c:pt>
                <c:pt idx="2">
                  <c:v>0.15150720397301276</c:v>
                </c:pt>
                <c:pt idx="3">
                  <c:v>0.25304135667606664</c:v>
                </c:pt>
                <c:pt idx="4">
                  <c:v>0.36937565567222647</c:v>
                </c:pt>
                <c:pt idx="5">
                  <c:v>0.47289246494258963</c:v>
                </c:pt>
                <c:pt idx="6">
                  <c:v>0.56253549051500951</c:v>
                </c:pt>
                <c:pt idx="7">
                  <c:v>0.66349938884130089</c:v>
                </c:pt>
                <c:pt idx="8">
                  <c:v>0.74062809790088646</c:v>
                </c:pt>
                <c:pt idx="9">
                  <c:v>0.78954004292547719</c:v>
                </c:pt>
                <c:pt idx="10">
                  <c:v>0.85380073339043905</c:v>
                </c:pt>
                <c:pt idx="11">
                  <c:v>0.89609580273529621</c:v>
                </c:pt>
                <c:pt idx="12">
                  <c:v>0.92310949846488499</c:v>
                </c:pt>
                <c:pt idx="13">
                  <c:v>0.94590283057910907</c:v>
                </c:pt>
                <c:pt idx="14">
                  <c:v>0.96382132991982761</c:v>
                </c:pt>
                <c:pt idx="15">
                  <c:v>0.97680965534499198</c:v>
                </c:pt>
                <c:pt idx="16">
                  <c:v>0.99277677789434182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EB-C445-9333-55913C8CD661}"/>
            </c:ext>
          </c:extLst>
        </c:ser>
        <c:ser>
          <c:idx val="1"/>
          <c:order val="1"/>
          <c:tx>
            <c:v>NW-88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A!$BD$54:$BD$71</c:f>
              <c:numCache>
                <c:formatCode>0.00_)</c:formatCode>
                <c:ptCount val="18"/>
                <c:pt idx="0">
                  <c:v>0.43597552773618442</c:v>
                </c:pt>
                <c:pt idx="1">
                  <c:v>0.62154459851620136</c:v>
                </c:pt>
                <c:pt idx="2">
                  <c:v>0.73192785301116503</c:v>
                </c:pt>
                <c:pt idx="3">
                  <c:v>0.80800493620448077</c:v>
                </c:pt>
                <c:pt idx="4">
                  <c:v>0.84921884852663154</c:v>
                </c:pt>
                <c:pt idx="5">
                  <c:v>0.89945112711361785</c:v>
                </c:pt>
                <c:pt idx="6">
                  <c:v>0.92096531348279143</c:v>
                </c:pt>
                <c:pt idx="7">
                  <c:v>0.93311655651875969</c:v>
                </c:pt>
                <c:pt idx="8">
                  <c:v>0.95279385463191191</c:v>
                </c:pt>
                <c:pt idx="9">
                  <c:v>0.95872789593867391</c:v>
                </c:pt>
                <c:pt idx="10">
                  <c:v>0.96907531209204967</c:v>
                </c:pt>
                <c:pt idx="11">
                  <c:v>0.98333240850259751</c:v>
                </c:pt>
                <c:pt idx="12">
                  <c:v>0.9866370923563047</c:v>
                </c:pt>
                <c:pt idx="13">
                  <c:v>0.99276870675172613</c:v>
                </c:pt>
                <c:pt idx="14">
                  <c:v>0.99688781367034007</c:v>
                </c:pt>
                <c:pt idx="15">
                  <c:v>0.99832337844716257</c:v>
                </c:pt>
                <c:pt idx="16">
                  <c:v>0.99907831442592654</c:v>
                </c:pt>
                <c:pt idx="17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EB-C445-9333-55913C8CD661}"/>
            </c:ext>
          </c:extLst>
        </c:ser>
        <c:ser>
          <c:idx val="2"/>
          <c:order val="2"/>
          <c:tx>
            <c:v>WK-68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A!$N$5:$N$23</c:f>
              <c:numCache>
                <c:formatCode>General</c:formatCode>
                <c:ptCount val="19"/>
                <c:pt idx="1">
                  <c:v>0</c:v>
                </c:pt>
                <c:pt idx="2">
                  <c:v>10690</c:v>
                </c:pt>
                <c:pt idx="3">
                  <c:v>18819</c:v>
                </c:pt>
                <c:pt idx="4">
                  <c:v>33458</c:v>
                </c:pt>
                <c:pt idx="5">
                  <c:v>42198</c:v>
                </c:pt>
                <c:pt idx="6">
                  <c:v>48349</c:v>
                </c:pt>
                <c:pt idx="7">
                  <c:v>43022</c:v>
                </c:pt>
                <c:pt idx="8">
                  <c:v>37256</c:v>
                </c:pt>
                <c:pt idx="9">
                  <c:v>41961</c:v>
                </c:pt>
                <c:pt idx="10">
                  <c:v>32055</c:v>
                </c:pt>
                <c:pt idx="11">
                  <c:v>20328</c:v>
                </c:pt>
                <c:pt idx="12">
                  <c:v>26707</c:v>
                </c:pt>
                <c:pt idx="13">
                  <c:v>17578</c:v>
                </c:pt>
                <c:pt idx="14">
                  <c:v>11227</c:v>
                </c:pt>
                <c:pt idx="15">
                  <c:v>9473</c:v>
                </c:pt>
                <c:pt idx="16">
                  <c:v>7447</c:v>
                </c:pt>
                <c:pt idx="17">
                  <c:v>5398</c:v>
                </c:pt>
                <c:pt idx="18">
                  <c:v>6636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EB-C445-9333-55913C8CD661}"/>
            </c:ext>
          </c:extLst>
        </c:ser>
        <c:ser>
          <c:idx val="3"/>
          <c:order val="3"/>
          <c:tx>
            <c:v>NW-68</c:v>
          </c:tx>
          <c:spPr>
            <a:ln w="3175">
              <a:solidFill>
                <a:srgbClr val="FFFF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A!$N$54:$N$72</c:f>
              <c:numCache>
                <c:formatCode>General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EB-C445-9333-55913C8CD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677696"/>
        <c:axId val="1"/>
      </c:lineChart>
      <c:catAx>
        <c:axId val="1054677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8551724137931035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09502262443438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467769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48275862068962"/>
          <c:y val="0.4434389140271493"/>
          <c:w val="0.08"/>
          <c:h val="0.147058823529411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Distribution by Mode: Non Auto Work Trips
1988</a:t>
            </a:r>
          </a:p>
        </c:rich>
      </c:tx>
      <c:layout>
        <c:manualLayout>
          <c:xMode val="edge"/>
          <c:yMode val="edge"/>
          <c:x val="0.372413793103448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5158371040723981"/>
          <c:w val="0.77517241379310342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AU.DR. - RAIL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A!$BB$7:$BB$24</c:f>
              <c:numCache>
                <c:formatCode>0.00_)</c:formatCode>
                <c:ptCount val="18"/>
                <c:pt idx="0">
                  <c:v>6.1913794920434185E-3</c:v>
                </c:pt>
                <c:pt idx="1">
                  <c:v>1.8205290336178733E-2</c:v>
                </c:pt>
                <c:pt idx="2">
                  <c:v>5.398355991147645E-2</c:v>
                </c:pt>
                <c:pt idx="3">
                  <c:v>0.13576246179787121</c:v>
                </c:pt>
                <c:pt idx="4">
                  <c:v>0.16974918326483296</c:v>
                </c:pt>
                <c:pt idx="5">
                  <c:v>0.29816102855938453</c:v>
                </c:pt>
                <c:pt idx="6">
                  <c:v>0.39493097270523764</c:v>
                </c:pt>
                <c:pt idx="7">
                  <c:v>0.57384866687743696</c:v>
                </c:pt>
                <c:pt idx="8">
                  <c:v>0.70523764358731156</c:v>
                </c:pt>
                <c:pt idx="9">
                  <c:v>0.80933185794077345</c:v>
                </c:pt>
                <c:pt idx="10">
                  <c:v>0.84007798503530395</c:v>
                </c:pt>
                <c:pt idx="11">
                  <c:v>0.89021498577300018</c:v>
                </c:pt>
                <c:pt idx="12">
                  <c:v>0.93173674781325733</c:v>
                </c:pt>
                <c:pt idx="13">
                  <c:v>0.95328801770471061</c:v>
                </c:pt>
                <c:pt idx="14">
                  <c:v>0.96032247865950038</c:v>
                </c:pt>
                <c:pt idx="15">
                  <c:v>0.97807988196859508</c:v>
                </c:pt>
                <c:pt idx="16">
                  <c:v>0.99799768152597734</c:v>
                </c:pt>
                <c:pt idx="17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09-544D-AD9F-30C40FC94B2E}"/>
            </c:ext>
          </c:extLst>
        </c:ser>
        <c:ser>
          <c:idx val="1"/>
          <c:order val="1"/>
          <c:tx>
            <c:v>AU. PX. - RAIL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A!$BC$7:$BC$24</c:f>
              <c:numCache>
                <c:formatCode>0.00_)</c:formatCode>
                <c:ptCount val="18"/>
                <c:pt idx="0">
                  <c:v>1.6566840830890786E-2</c:v>
                </c:pt>
                <c:pt idx="1">
                  <c:v>5.4543137504778898E-2</c:v>
                </c:pt>
                <c:pt idx="2">
                  <c:v>0.15275476827662376</c:v>
                </c:pt>
                <c:pt idx="3">
                  <c:v>0.2093793806550274</c:v>
                </c:pt>
                <c:pt idx="4">
                  <c:v>0.26260566670914576</c:v>
                </c:pt>
                <c:pt idx="5">
                  <c:v>0.40758676351896694</c:v>
                </c:pt>
                <c:pt idx="6">
                  <c:v>0.53383458646616544</c:v>
                </c:pt>
                <c:pt idx="7">
                  <c:v>0.6845078798691645</c:v>
                </c:pt>
                <c:pt idx="8">
                  <c:v>0.78178497090183097</c:v>
                </c:pt>
                <c:pt idx="9">
                  <c:v>0.81028843294677388</c:v>
                </c:pt>
                <c:pt idx="10">
                  <c:v>0.84342211460855543</c:v>
                </c:pt>
                <c:pt idx="11">
                  <c:v>0.89788029395522717</c:v>
                </c:pt>
                <c:pt idx="12">
                  <c:v>0.94273820143579301</c:v>
                </c:pt>
                <c:pt idx="13">
                  <c:v>0.97030712374155748</c:v>
                </c:pt>
                <c:pt idx="14">
                  <c:v>0.99307591011426888</c:v>
                </c:pt>
                <c:pt idx="15">
                  <c:v>1.0000000000000002</c:v>
                </c:pt>
                <c:pt idx="16">
                  <c:v>1.0000000000000002</c:v>
                </c:pt>
                <c:pt idx="17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09-544D-AD9F-30C40FC94B2E}"/>
            </c:ext>
          </c:extLst>
        </c:ser>
        <c:ser>
          <c:idx val="2"/>
          <c:order val="2"/>
          <c:tx>
            <c:v>BUS - RAIL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A!$BH$7:$BH$24</c:f>
              <c:numCache>
                <c:formatCode>0.00_)</c:formatCode>
                <c:ptCount val="18"/>
                <c:pt idx="0">
                  <c:v>2.6282366968196781E-2</c:v>
                </c:pt>
                <c:pt idx="1">
                  <c:v>2.6282366968196781E-2</c:v>
                </c:pt>
                <c:pt idx="2">
                  <c:v>4.4737046732847771E-2</c:v>
                </c:pt>
                <c:pt idx="3">
                  <c:v>6.5783675902646374E-2</c:v>
                </c:pt>
                <c:pt idx="4">
                  <c:v>0.16153028692879914</c:v>
                </c:pt>
                <c:pt idx="5">
                  <c:v>0.24180296000622067</c:v>
                </c:pt>
                <c:pt idx="6">
                  <c:v>0.35735206448770118</c:v>
                </c:pt>
                <c:pt idx="7">
                  <c:v>0.47456001658847619</c:v>
                </c:pt>
                <c:pt idx="8">
                  <c:v>0.62043492911018383</c:v>
                </c:pt>
                <c:pt idx="9">
                  <c:v>0.69474611855576585</c:v>
                </c:pt>
                <c:pt idx="10">
                  <c:v>0.81312044788885729</c:v>
                </c:pt>
                <c:pt idx="11">
                  <c:v>0.85018532438246819</c:v>
                </c:pt>
                <c:pt idx="12">
                  <c:v>0.86809569477203818</c:v>
                </c:pt>
                <c:pt idx="13">
                  <c:v>0.91301417796324624</c:v>
                </c:pt>
                <c:pt idx="14">
                  <c:v>0.91301417796324624</c:v>
                </c:pt>
                <c:pt idx="15">
                  <c:v>0.9634275938933673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09-544D-AD9F-30C40FC94B2E}"/>
            </c:ext>
          </c:extLst>
        </c:ser>
        <c:ser>
          <c:idx val="3"/>
          <c:order val="3"/>
          <c:tx>
            <c:v>WALK - RAIL</c:v>
          </c:tx>
          <c:spPr>
            <a:ln w="3175">
              <a:solidFill>
                <a:srgbClr val="FFFF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A!$BK$7:$BK$24</c:f>
              <c:numCache>
                <c:formatCode>0.00_)</c:formatCode>
                <c:ptCount val="18"/>
                <c:pt idx="0">
                  <c:v>1.5941073498988337E-2</c:v>
                </c:pt>
                <c:pt idx="1">
                  <c:v>5.7085047855048081E-2</c:v>
                </c:pt>
                <c:pt idx="2">
                  <c:v>0.14149635119467116</c:v>
                </c:pt>
                <c:pt idx="3">
                  <c:v>0.27979175665537548</c:v>
                </c:pt>
                <c:pt idx="4">
                  <c:v>0.40222793097960763</c:v>
                </c:pt>
                <c:pt idx="5">
                  <c:v>0.51889876554436543</c:v>
                </c:pt>
                <c:pt idx="6">
                  <c:v>0.61036669925205178</c:v>
                </c:pt>
                <c:pt idx="7">
                  <c:v>0.69560097301475443</c:v>
                </c:pt>
                <c:pt idx="8">
                  <c:v>0.75868779412099041</c:v>
                </c:pt>
                <c:pt idx="9">
                  <c:v>0.80330552208607098</c:v>
                </c:pt>
                <c:pt idx="10">
                  <c:v>0.85562097892559175</c:v>
                </c:pt>
                <c:pt idx="11">
                  <c:v>0.90405347034351069</c:v>
                </c:pt>
                <c:pt idx="12">
                  <c:v>0.92907904608179703</c:v>
                </c:pt>
                <c:pt idx="13">
                  <c:v>0.94806192738763739</c:v>
                </c:pt>
                <c:pt idx="14">
                  <c:v>0.97088685293382149</c:v>
                </c:pt>
                <c:pt idx="15">
                  <c:v>0.98062609407324908</c:v>
                </c:pt>
                <c:pt idx="16">
                  <c:v>0.98997431059176588</c:v>
                </c:pt>
                <c:pt idx="17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09-544D-AD9F-30C40FC94B2E}"/>
            </c:ext>
          </c:extLst>
        </c:ser>
        <c:ser>
          <c:idx val="4"/>
          <c:order val="4"/>
          <c:tx>
            <c:v>BUS </c:v>
          </c:tx>
          <c:spPr>
            <a:ln w="3175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A!$BI$7:$BI$24</c:f>
              <c:numCache>
                <c:formatCode>0.00_)</c:formatCode>
                <c:ptCount val="18"/>
                <c:pt idx="0">
                  <c:v>5.8007553012312876E-2</c:v>
                </c:pt>
                <c:pt idx="1">
                  <c:v>0.14609115920954902</c:v>
                </c:pt>
                <c:pt idx="2">
                  <c:v>0.25604920965362848</c:v>
                </c:pt>
                <c:pt idx="3">
                  <c:v>0.32439246372566455</c:v>
                </c:pt>
                <c:pt idx="4">
                  <c:v>0.48323586948562103</c:v>
                </c:pt>
                <c:pt idx="5">
                  <c:v>0.54577313763848057</c:v>
                </c:pt>
                <c:pt idx="6">
                  <c:v>0.60891715747298381</c:v>
                </c:pt>
                <c:pt idx="7">
                  <c:v>0.69632078333734337</c:v>
                </c:pt>
                <c:pt idx="8">
                  <c:v>0.7515038026592461</c:v>
                </c:pt>
                <c:pt idx="9">
                  <c:v>0.78315950246362098</c:v>
                </c:pt>
                <c:pt idx="10">
                  <c:v>0.87403625864359613</c:v>
                </c:pt>
                <c:pt idx="11">
                  <c:v>0.8982121747863292</c:v>
                </c:pt>
                <c:pt idx="12">
                  <c:v>0.92331914092330858</c:v>
                </c:pt>
                <c:pt idx="13">
                  <c:v>0.94526681382138478</c:v>
                </c:pt>
                <c:pt idx="14">
                  <c:v>0.96225586090740756</c:v>
                </c:pt>
                <c:pt idx="15">
                  <c:v>0.96721448671946098</c:v>
                </c:pt>
                <c:pt idx="16">
                  <c:v>0.99245744892301568</c:v>
                </c:pt>
                <c:pt idx="17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09-544D-AD9F-30C40FC94B2E}"/>
            </c:ext>
          </c:extLst>
        </c:ser>
        <c:ser>
          <c:idx val="5"/>
          <c:order val="5"/>
          <c:tx>
            <c:v>WALK</c:v>
          </c:tx>
          <c:spPr>
            <a:ln w="3175">
              <a:solidFill>
                <a:srgbClr val="00FFFF"/>
              </a:solidFill>
              <a:prstDash val="solid"/>
            </a:ln>
          </c:spPr>
          <c:marker>
            <c:symbol val="triangle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A!$A$7:$A$24</c:f>
              <c:numCache>
                <c:formatCode>General</c:formatCod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numCache>
            </c:numRef>
          </c:cat>
          <c:val>
            <c:numRef>
              <c:f>A!$BJ$7:$BJ$24</c:f>
              <c:numCache>
                <c:formatCode>0.00_)</c:formatCode>
                <c:ptCount val="18"/>
                <c:pt idx="0">
                  <c:v>0.25594896281554086</c:v>
                </c:pt>
                <c:pt idx="1">
                  <c:v>0.47263673764778991</c:v>
                </c:pt>
                <c:pt idx="2">
                  <c:v>0.69729317275394687</c:v>
                </c:pt>
                <c:pt idx="3">
                  <c:v>0.78597893378853545</c:v>
                </c:pt>
                <c:pt idx="4">
                  <c:v>0.83835340575662931</c:v>
                </c:pt>
                <c:pt idx="5">
                  <c:v>0.92890350290663359</c:v>
                </c:pt>
                <c:pt idx="6">
                  <c:v>0.94716141060232983</c:v>
                </c:pt>
                <c:pt idx="7">
                  <c:v>0.95580658102782323</c:v>
                </c:pt>
                <c:pt idx="8">
                  <c:v>0.97832807595793025</c:v>
                </c:pt>
                <c:pt idx="9">
                  <c:v>0.9842750721741933</c:v>
                </c:pt>
                <c:pt idx="10">
                  <c:v>0.9842750721741933</c:v>
                </c:pt>
                <c:pt idx="11">
                  <c:v>0.9919369429607543</c:v>
                </c:pt>
                <c:pt idx="12">
                  <c:v>0.9957678783540348</c:v>
                </c:pt>
                <c:pt idx="13">
                  <c:v>0.9968141091698588</c:v>
                </c:pt>
                <c:pt idx="14">
                  <c:v>0.99999999999999967</c:v>
                </c:pt>
                <c:pt idx="15">
                  <c:v>0.99999999999999967</c:v>
                </c:pt>
                <c:pt idx="16">
                  <c:v>0.99999999999999967</c:v>
                </c:pt>
                <c:pt idx="17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09-544D-AD9F-30C40FC94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866208"/>
        <c:axId val="1"/>
      </c:lineChart>
      <c:catAx>
        <c:axId val="105486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4827586206896552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cumulative 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09502262443438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5486620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310344827586206"/>
          <c:y val="0.40723981900452488"/>
          <c:w val="0.12137931034482759"/>
          <c:h val="0.219457013574660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1968 Trip Distribution
Work Trips by WALK</a:t>
            </a:r>
          </a:p>
        </c:rich>
      </c:tx>
      <c:layout>
        <c:manualLayout>
          <c:xMode val="edge"/>
          <c:yMode val="edge"/>
          <c:x val="0.4317241379310344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5158371040723981"/>
          <c:w val="0.75310344827586206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WALK : Observed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B!$J$5:$J$23</c:f>
              <c:numCache>
                <c:formatCode>0.00_)</c:formatCode>
                <c:ptCount val="19"/>
                <c:pt idx="0">
                  <c:v>0.27352858993573298</c:v>
                </c:pt>
                <c:pt idx="1">
                  <c:v>0.23311402951710825</c:v>
                </c:pt>
                <c:pt idx="2">
                  <c:v>0.23811822084487008</c:v>
                </c:pt>
                <c:pt idx="3">
                  <c:v>7.8796961922422332E-2</c:v>
                </c:pt>
                <c:pt idx="4">
                  <c:v>3.1752483044174051E-2</c:v>
                </c:pt>
                <c:pt idx="5">
                  <c:v>9.9779002718012544E-2</c:v>
                </c:pt>
                <c:pt idx="6">
                  <c:v>6.3250946223994712E-3</c:v>
                </c:pt>
                <c:pt idx="7">
                  <c:v>3.962709883912922E-3</c:v>
                </c:pt>
                <c:pt idx="8">
                  <c:v>1.6206467345746437E-2</c:v>
                </c:pt>
                <c:pt idx="9">
                  <c:v>2.6672085757106206E-3</c:v>
                </c:pt>
                <c:pt idx="10">
                  <c:v>8.6366753880153424E-4</c:v>
                </c:pt>
                <c:pt idx="11">
                  <c:v>1.2015139583915462E-2</c:v>
                </c:pt>
                <c:pt idx="12">
                  <c:v>2.1591688470038355E-3</c:v>
                </c:pt>
                <c:pt idx="13">
                  <c:v>7.1125562018949887E-4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A-884D-A40D-67C3BB2CEDF4}"/>
            </c:ext>
          </c:extLst>
        </c:ser>
        <c:ser>
          <c:idx val="1"/>
          <c:order val="1"/>
          <c:tx>
            <c:v>WALK : Equation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B!$Z$5:$Z$23</c:f>
              <c:numCache>
                <c:formatCode>0.00_)</c:formatCode>
                <c:ptCount val="19"/>
                <c:pt idx="0">
                  <c:v>0.32984502538012545</c:v>
                </c:pt>
                <c:pt idx="1">
                  <c:v>0.22110173259743235</c:v>
                </c:pt>
                <c:pt idx="2">
                  <c:v>0.14820892357327048</c:v>
                </c:pt>
                <c:pt idx="3">
                  <c:v>9.9347412472527194E-2</c:v>
                </c:pt>
                <c:pt idx="4">
                  <c:v>6.6594562102106084E-2</c:v>
                </c:pt>
                <c:pt idx="5">
                  <c:v>4.4639669934006983E-2</c:v>
                </c:pt>
                <c:pt idx="6">
                  <c:v>2.9922865605179306E-2</c:v>
                </c:pt>
                <c:pt idx="7">
                  <c:v>2.0057896649982043E-2</c:v>
                </c:pt>
                <c:pt idx="8">
                  <c:v>1.344521020579406E-2</c:v>
                </c:pt>
                <c:pt idx="9">
                  <c:v>9.0125939241067193E-3</c:v>
                </c:pt>
                <c:pt idx="10">
                  <c:v>6.0413223741077387E-3</c:v>
                </c:pt>
                <c:pt idx="11">
                  <c:v>4.0496194919280365E-3</c:v>
                </c:pt>
                <c:pt idx="12">
                  <c:v>2.7145411242560247E-3</c:v>
                </c:pt>
                <c:pt idx="13">
                  <c:v>1.8196113313769338E-3</c:v>
                </c:pt>
                <c:pt idx="14">
                  <c:v>1.2197219514155579E-3</c:v>
                </c:pt>
                <c:pt idx="15">
                  <c:v>8.1760407462355634E-4</c:v>
                </c:pt>
                <c:pt idx="16">
                  <c:v>5.4805640094058824E-4</c:v>
                </c:pt>
                <c:pt idx="17">
                  <c:v>3.6737319190862213E-4</c:v>
                </c:pt>
                <c:pt idx="18">
                  <c:v>2.4625761491244718E-4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0A-884D-A40D-67C3BB2CE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258912"/>
        <c:axId val="1"/>
      </c:lineChart>
      <c:catAx>
        <c:axId val="1062258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3724137931034485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6380090497737558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6225891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10344827586207"/>
          <c:y val="0.47963800904977377"/>
          <c:w val="0.14344827586206896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1968 Trip Distribution
Work Trips by TRN</a:t>
            </a:r>
          </a:p>
        </c:rich>
      </c:tx>
      <c:layout>
        <c:manualLayout>
          <c:xMode val="edge"/>
          <c:yMode val="edge"/>
          <c:x val="0.4317241379310344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5158371040723981"/>
          <c:w val="0.76689655172413795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v>TRN : Observed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B!$I$5:$I$23</c:f>
              <c:numCache>
                <c:formatCode>0.00_)</c:formatCode>
                <c:ptCount val="19"/>
                <c:pt idx="0">
                  <c:v>4.3649029198162149E-3</c:v>
                </c:pt>
                <c:pt idx="1">
                  <c:v>1.2668593448940269E-2</c:v>
                </c:pt>
                <c:pt idx="2">
                  <c:v>4.7335852971691121E-2</c:v>
                </c:pt>
                <c:pt idx="3">
                  <c:v>4.6965317919075142E-2</c:v>
                </c:pt>
                <c:pt idx="4">
                  <c:v>3.793537868682377E-2</c:v>
                </c:pt>
                <c:pt idx="5">
                  <c:v>0.22624499777678969</c:v>
                </c:pt>
                <c:pt idx="6">
                  <c:v>4.1399881428783161E-2</c:v>
                </c:pt>
                <c:pt idx="7">
                  <c:v>5.4409367126130134E-2</c:v>
                </c:pt>
                <c:pt idx="8">
                  <c:v>0.14523491922335852</c:v>
                </c:pt>
                <c:pt idx="9">
                  <c:v>4.4378983251815621E-2</c:v>
                </c:pt>
                <c:pt idx="10">
                  <c:v>2.3943975100044465E-2</c:v>
                </c:pt>
                <c:pt idx="11">
                  <c:v>0.17287312879798428</c:v>
                </c:pt>
                <c:pt idx="12">
                  <c:v>1.3598636431006374E-2</c:v>
                </c:pt>
                <c:pt idx="13">
                  <c:v>2.2395138580109678E-2</c:v>
                </c:pt>
                <c:pt idx="14">
                  <c:v>4.7335852971691121E-2</c:v>
                </c:pt>
                <c:pt idx="15">
                  <c:v>1.1012301763746851E-2</c:v>
                </c:pt>
                <c:pt idx="16">
                  <c:v>6.2249888839484213E-3</c:v>
                </c:pt>
                <c:pt idx="17">
                  <c:v>3.8676448792055729E-2</c:v>
                </c:pt>
                <c:pt idx="18">
                  <c:v>3.0013339261894174E-3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8E-F34F-A02E-A2BE5823280A}"/>
            </c:ext>
          </c:extLst>
        </c:ser>
        <c:ser>
          <c:idx val="1"/>
          <c:order val="1"/>
          <c:tx>
            <c:v>TRN : Equation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B!$A$5:$A$23</c:f>
              <c:numCache>
                <c:formatCode>General</c:formatCod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numCache>
            </c:numRef>
          </c:cat>
          <c:val>
            <c:numRef>
              <c:f>B!$Y$5:$Y$23</c:f>
              <c:numCache>
                <c:formatCode>0.00_)</c:formatCode>
                <c:ptCount val="19"/>
                <c:pt idx="0">
                  <c:v>3.2798780530160818E-2</c:v>
                </c:pt>
                <c:pt idx="1">
                  <c:v>4.8685991300455395E-2</c:v>
                </c:pt>
                <c:pt idx="2">
                  <c:v>6.7046830354075979E-2</c:v>
                </c:pt>
                <c:pt idx="3">
                  <c:v>8.5660459443199818E-2</c:v>
                </c:pt>
                <c:pt idx="4">
                  <c:v>0.10153375814435622</c:v>
                </c:pt>
                <c:pt idx="5">
                  <c:v>0.11165249623767332</c:v>
                </c:pt>
                <c:pt idx="6">
                  <c:v>0.11390802627900667</c:v>
                </c:pt>
                <c:pt idx="7">
                  <c:v>0.10781225510577494</c:v>
                </c:pt>
                <c:pt idx="8">
                  <c:v>9.466944860562293E-2</c:v>
                </c:pt>
                <c:pt idx="9">
                  <c:v>7.7122212252719022E-2</c:v>
                </c:pt>
                <c:pt idx="10">
                  <c:v>5.828771412570255E-2</c:v>
                </c:pt>
                <c:pt idx="11">
                  <c:v>4.0869797210275824E-2</c:v>
                </c:pt>
                <c:pt idx="12">
                  <c:v>2.6586174784782063E-2</c:v>
                </c:pt>
                <c:pt idx="13">
                  <c:v>1.6044904711893761E-2</c:v>
                </c:pt>
                <c:pt idx="14">
                  <c:v>8.9835159398868464E-3</c:v>
                </c:pt>
                <c:pt idx="15">
                  <c:v>4.6664160490984471E-3</c:v>
                </c:pt>
                <c:pt idx="16">
                  <c:v>2.2487878455617464E-3</c:v>
                </c:pt>
                <c:pt idx="17">
                  <c:v>1.0054058951440828E-3</c:v>
                </c:pt>
                <c:pt idx="18">
                  <c:v>4.1702518460968904E-4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8E-F34F-A02E-A2BE5823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291392"/>
        <c:axId val="1"/>
      </c:lineChart>
      <c:catAx>
        <c:axId val="1062291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4413793103448274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6380090497737558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6229139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482758620689659"/>
          <c:y val="0.47963800904977377"/>
          <c:w val="0.1296551724137931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1988 Trip Distribution
Work Trips by AU1</a:t>
            </a:r>
          </a:p>
        </c:rich>
      </c:tx>
      <c:layout>
        <c:manualLayout>
          <c:xMode val="edge"/>
          <c:yMode val="edge"/>
          <c:x val="0.4317241379310344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034482758620694E-2"/>
          <c:y val="0.15158371040723981"/>
          <c:w val="0.76"/>
          <c:h val="0.75791855203619907"/>
        </c:manualLayout>
      </c:layout>
      <c:lineChart>
        <c:grouping val="standard"/>
        <c:varyColors val="0"/>
        <c:ser>
          <c:idx val="0"/>
          <c:order val="0"/>
          <c:tx>
            <c:v>AU1 : Observed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A!$CC$7:$CC$24</c:f>
              <c:numCache>
                <c:formatCode>General</c:formatCode>
                <c:ptCount val="18"/>
              </c:numCache>
            </c:numRef>
          </c:cat>
          <c:val>
            <c:numRef>
              <c:f>A!$BD$7:$BD$24</c:f>
              <c:numCache>
                <c:formatCode>0.00_)</c:formatCode>
                <c:ptCount val="18"/>
                <c:pt idx="0">
                  <c:v>6.6282670107822766E-2</c:v>
                </c:pt>
                <c:pt idx="1">
                  <c:v>0.18321325429071822</c:v>
                </c:pt>
                <c:pt idx="2">
                  <c:v>0.33778059318281478</c:v>
                </c:pt>
                <c:pt idx="3">
                  <c:v>0.45917107805146673</c:v>
                </c:pt>
                <c:pt idx="4">
                  <c:v>0.540796874757977</c:v>
                </c:pt>
                <c:pt idx="5">
                  <c:v>0.69445567579780154</c:v>
                </c:pt>
                <c:pt idx="6">
                  <c:v>0.75212779992297996</c:v>
                </c:pt>
                <c:pt idx="7">
                  <c:v>0.80467664651788584</c:v>
                </c:pt>
                <c:pt idx="8">
                  <c:v>0.87035255648450871</c:v>
                </c:pt>
                <c:pt idx="9">
                  <c:v>0.90146236671706981</c:v>
                </c:pt>
                <c:pt idx="10">
                  <c:v>0.91647861197208269</c:v>
                </c:pt>
                <c:pt idx="11">
                  <c:v>0.9563463852638473</c:v>
                </c:pt>
                <c:pt idx="12">
                  <c:v>0.96607217347785201</c:v>
                </c:pt>
                <c:pt idx="13">
                  <c:v>0.97505072803205151</c:v>
                </c:pt>
                <c:pt idx="14">
                  <c:v>0.98804052260421882</c:v>
                </c:pt>
                <c:pt idx="15">
                  <c:v>0.99158440775990675</c:v>
                </c:pt>
                <c:pt idx="16">
                  <c:v>0.99295869811493087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5A-3843-B296-3AE676BF8118}"/>
            </c:ext>
          </c:extLst>
        </c:ser>
        <c:ser>
          <c:idx val="1"/>
          <c:order val="1"/>
          <c:tx>
            <c:v>AU1 : Equation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A!$CC$7:$CC$24</c:f>
              <c:numCache>
                <c:formatCode>General</c:formatCode>
                <c:ptCount val="18"/>
              </c:numCache>
            </c:numRef>
          </c:cat>
          <c:val>
            <c:numRef>
              <c:f>A!$BS$7:$BS$24</c:f>
              <c:numCache>
                <c:formatCode>General</c:formatCode>
                <c:ptCount val="18"/>
                <c:pt idx="0">
                  <c:v>-2.6958960975399453</c:v>
                </c:pt>
                <c:pt idx="1">
                  <c:v>-2.2371122654041375</c:v>
                </c:pt>
                <c:pt idx="2">
                  <c:v>-1.969069067024279</c:v>
                </c:pt>
                <c:pt idx="3">
                  <c:v>-2.1962709466079566</c:v>
                </c:pt>
                <c:pt idx="4">
                  <c:v>-2.4855753743476781</c:v>
                </c:pt>
                <c:pt idx="5">
                  <c:v>-1.9505628710375431</c:v>
                </c:pt>
                <c:pt idx="6">
                  <c:v>-2.7611626756271388</c:v>
                </c:pt>
                <c:pt idx="7">
                  <c:v>-2.7845230700895214</c:v>
                </c:pt>
                <c:pt idx="8">
                  <c:v>-2.6490465648369041</c:v>
                </c:pt>
                <c:pt idx="9">
                  <c:v>-3.3655951346966773</c:v>
                </c:pt>
                <c:pt idx="10">
                  <c:v>-3.8110499956349884</c:v>
                </c:pt>
                <c:pt idx="11">
                  <c:v>-3.147999675456183</c:v>
                </c:pt>
                <c:pt idx="12">
                  <c:v>-4.3643602178358956</c:v>
                </c:pt>
                <c:pt idx="13">
                  <c:v>-4.4966783931113916</c:v>
                </c:pt>
                <c:pt idx="14">
                  <c:v>-4.3239808416992265</c:v>
                </c:pt>
                <c:pt idx="15">
                  <c:v>-5.4490521179538813</c:v>
                </c:pt>
                <c:pt idx="16">
                  <c:v>-5.5490285857333674</c:v>
                </c:pt>
                <c:pt idx="17">
                  <c:v>-4.7251764024893061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5A-3843-B296-3AE676BF8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320688"/>
        <c:axId val="1"/>
      </c:lineChart>
      <c:catAx>
        <c:axId val="106232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minutes</a:t>
                </a:r>
              </a:p>
            </c:rich>
          </c:tx>
          <c:layout>
            <c:manualLayout>
              <c:xMode val="edge"/>
              <c:yMode val="edge"/>
              <c:x val="0.44413793103448274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proportion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7737556561085975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6232068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206896551724133"/>
          <c:y val="0.49321266968325794"/>
          <c:w val="0.13241379310344828"/>
          <c:h val="7.466063348416289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chart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chart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chart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chart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chart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chart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chart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chart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267" workbookViewId="0" zoomToFit="1"/>
  </sheetViews>
  <pageMargins left="0.75" right="0.75" top="1" bottom="1" header="0.5" footer="0.5"/>
  <pageSetup paperSize="0" orientation="landscape" horizontalDpi="4294967292" verticalDpi="4294967292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267" workbookViewId="0" zoomToFit="1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267" workbookViewId="0" zoomToFit="1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267" workbookViewId="0" zoomToFit="1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267" workbookViewId="0" zoomToFit="1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267" workbookViewId="0" zoomToFit="1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tabSelected="1" zoomScale="271" workbookViewId="0" zoomToFit="1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267" workbookViewId="0" zoomToFit="1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267" workbookViewId="0" zoomToFit="1"/>
  </sheetViews>
  <pageMargins left="0.75" right="0.75" top="1" bottom="1" header="0.5" footer="0.5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267" workbookViewId="0" zoomToFit="1"/>
  </sheetViews>
  <pageMargins left="0.75" right="0.75" top="1" bottom="1" header="0.5" footer="0.5"/>
  <headerFooter alignWithMargins="0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/>
  <sheetViews>
    <sheetView zoomScale="267" workbookViewId="0" zoomToFit="1"/>
  </sheetViews>
  <pageMargins left="0.75" right="0.75" top="1" bottom="1" header="0.5" footer="0.5"/>
  <headerFooter alignWithMargins="0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26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27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28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29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30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3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32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33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3933" cy="5612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83A1BC-D52D-6D40-9C99-74A13A21351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3933" cy="5612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4FD18-E34D-7745-BD19-FBD1402983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3933" cy="5612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5C6F9D-A70A-CA45-939E-5702640414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03933" cy="5612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98627-F142-7446-A6A5-DE47C03BD0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03933" cy="5612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F73F4-4D5E-4540-BC72-F5D0F32A44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03933" cy="5612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258372-AEB5-7048-90F5-9094DFB531B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03933" cy="5612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A74D4-C5B4-704D-A1B0-79E36FB604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52DDE4-C2D0-0646-A3C5-8F8711DF5C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D64533-CDDC-B840-9F1B-EA3264BE030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269F1-58E3-1F4C-8258-DC186E75DD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A7A6E3-5F9D-8646-8241-72B2E00CCB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D9D3EE-D783-264F-AE20-8B5A0F81DE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F84468-5A11-CC4F-864B-D308D516D4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EE3FB-F4BA-7F47-A175-C14A3C9997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6A0CA-D7A0-1D42-8849-E42D6DBFCDF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470780-08CF-5C42-B53D-A8AE9C8F64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03933" cy="5612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7FA7A-DB3F-EA44-AE1E-DA02559B0E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03933" cy="5612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3AEBC-EFB8-F348-89EC-788C98128D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03933" cy="5612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8C650-1C67-9446-947B-270C6E3DC0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03933" cy="5612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497B7-7854-0142-B623-BE90437041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A726CF-A2F9-C94A-BF2A-92CD1F1F60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2302A0-2D72-2E4A-8CE4-9D5C9B685D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DC897-3F54-3E4C-A9E5-197D6FB815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AB840E-DB8C-AD45-8A99-BBCF11D71A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E6EBE-44DF-8743-B5F6-2908D5163B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269CC-4C78-DB46-8DCD-2CA8D89B82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F2FC67-104B-174A-BFF6-0AD5617998D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33420-867E-5942-9E32-459E3E0B12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B3AEFB-8736-DA47-B455-59244C3C63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CCDE4-F614-C748-813F-943B65848D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DE542-DA99-4C4A-A4FE-90F9296B54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EA722-2D17-2944-A220-FB04A43479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5EB9C-2158-754E-9541-751D2013EF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DT187"/>
  <sheetViews>
    <sheetView showGridLines="0" workbookViewId="0">
      <selection activeCell="B8" sqref="B8"/>
    </sheetView>
  </sheetViews>
  <sheetFormatPr baseColWidth="10" defaultColWidth="9.83203125" defaultRowHeight="13" x14ac:dyDescent="0.2"/>
  <cols>
    <col min="1" max="1" width="15.83203125" customWidth="1"/>
  </cols>
  <sheetData>
    <row r="1" spans="1:115" x14ac:dyDescent="0.2">
      <c r="A1" t="s">
        <v>0</v>
      </c>
      <c r="BZ1" t="s">
        <v>1</v>
      </c>
    </row>
    <row r="2" spans="1:115" x14ac:dyDescent="0.2">
      <c r="BY2" t="s">
        <v>2</v>
      </c>
      <c r="CB2">
        <v>-3.5589072906801036</v>
      </c>
      <c r="CW2" t="s">
        <v>3</v>
      </c>
      <c r="DD2" t="s">
        <v>4</v>
      </c>
    </row>
    <row r="3" spans="1:115" x14ac:dyDescent="0.2">
      <c r="BY3" t="s">
        <v>5</v>
      </c>
      <c r="CB3">
        <v>0.38410847566250078</v>
      </c>
      <c r="CG3" t="s">
        <v>6</v>
      </c>
    </row>
    <row r="4" spans="1:115" x14ac:dyDescent="0.2">
      <c r="AK4" t="s">
        <v>7</v>
      </c>
      <c r="BY4" t="s">
        <v>8</v>
      </c>
      <c r="CB4">
        <v>0.90551422665987247</v>
      </c>
      <c r="CH4" t="s">
        <v>9</v>
      </c>
      <c r="CI4" t="s">
        <v>10</v>
      </c>
      <c r="CJ4" t="s">
        <v>11</v>
      </c>
      <c r="CK4" t="s">
        <v>12</v>
      </c>
      <c r="CN4" t="s">
        <v>13</v>
      </c>
      <c r="CW4">
        <v>0</v>
      </c>
      <c r="CX4">
        <v>5</v>
      </c>
      <c r="CY4">
        <v>89071.8</v>
      </c>
      <c r="CZ4">
        <v>9.6700000000000008E-2</v>
      </c>
      <c r="DA4">
        <v>89071.8</v>
      </c>
      <c r="DB4">
        <v>9.6700000000000008E-2</v>
      </c>
      <c r="DD4">
        <v>0</v>
      </c>
      <c r="DE4">
        <v>5</v>
      </c>
      <c r="DF4">
        <v>7245.4880000000003</v>
      </c>
      <c r="DG4">
        <v>4.4999999999999998E-2</v>
      </c>
      <c r="DH4">
        <v>7245.4880000000003</v>
      </c>
      <c r="DI4">
        <v>4.4999999999999998E-2</v>
      </c>
      <c r="DJ4">
        <f t="shared" ref="DJ4:DJ22" si="0">DF4/$DF$23</f>
        <v>4.8039619905893095E-2</v>
      </c>
      <c r="DK4">
        <f t="shared" ref="DK4:DK20" si="1">DI4/SUM($DG$4:$DG$20)</f>
        <v>4.9083769633507864E-2</v>
      </c>
    </row>
    <row r="5" spans="1:115" x14ac:dyDescent="0.2">
      <c r="R5" t="s">
        <v>14</v>
      </c>
      <c r="BB5" t="s">
        <v>15</v>
      </c>
      <c r="BY5" t="s">
        <v>16</v>
      </c>
      <c r="CB5">
        <v>18</v>
      </c>
      <c r="CF5">
        <v>0</v>
      </c>
      <c r="CG5">
        <v>5</v>
      </c>
      <c r="CH5">
        <v>64399.46</v>
      </c>
      <c r="CI5">
        <v>7.9000000000000001E-2</v>
      </c>
      <c r="CJ5">
        <v>64399.46</v>
      </c>
      <c r="CK5">
        <v>7.9000000000000001E-2</v>
      </c>
      <c r="CN5" s="1">
        <v>6.7481884321931904E-2</v>
      </c>
      <c r="CQ5" t="s">
        <v>1</v>
      </c>
      <c r="CW5">
        <v>5</v>
      </c>
      <c r="CX5">
        <v>10</v>
      </c>
      <c r="CY5">
        <v>98670.66</v>
      </c>
      <c r="CZ5">
        <v>0.1071</v>
      </c>
      <c r="DA5">
        <v>187742.5</v>
      </c>
      <c r="DB5">
        <v>0.20380000000000001</v>
      </c>
      <c r="DD5">
        <v>5</v>
      </c>
      <c r="DE5">
        <v>10</v>
      </c>
      <c r="DF5">
        <v>4857.6559999999999</v>
      </c>
      <c r="DG5">
        <v>3.0100000000000002E-2</v>
      </c>
      <c r="DH5">
        <v>12103.14</v>
      </c>
      <c r="DI5">
        <v>7.51E-2</v>
      </c>
      <c r="DJ5">
        <f t="shared" si="0"/>
        <v>3.2207623264793345E-2</v>
      </c>
      <c r="DK5">
        <f t="shared" si="1"/>
        <v>8.1915357766143115E-2</v>
      </c>
    </row>
    <row r="6" spans="1:115" x14ac:dyDescent="0.2"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Q6" t="s">
        <v>31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25</v>
      </c>
      <c r="AA6" t="s">
        <v>26</v>
      </c>
      <c r="AB6" t="s">
        <v>27</v>
      </c>
      <c r="AC6" t="s">
        <v>28</v>
      </c>
      <c r="AD6" t="s">
        <v>29</v>
      </c>
      <c r="AE6" t="s">
        <v>30</v>
      </c>
      <c r="AF6" t="s">
        <v>32</v>
      </c>
      <c r="AG6" t="s">
        <v>33</v>
      </c>
      <c r="AK6" t="s">
        <v>17</v>
      </c>
      <c r="AL6" t="s">
        <v>18</v>
      </c>
      <c r="AM6" t="s">
        <v>19</v>
      </c>
      <c r="AN6" t="s">
        <v>20</v>
      </c>
      <c r="AO6" t="s">
        <v>21</v>
      </c>
      <c r="AP6" t="s">
        <v>22</v>
      </c>
      <c r="AQ6" t="s">
        <v>23</v>
      </c>
      <c r="AR6" t="s">
        <v>24</v>
      </c>
      <c r="AS6" t="s">
        <v>25</v>
      </c>
      <c r="AT6" t="s">
        <v>26</v>
      </c>
      <c r="AU6" t="s">
        <v>27</v>
      </c>
      <c r="AV6" t="s">
        <v>28</v>
      </c>
      <c r="AW6" t="s">
        <v>29</v>
      </c>
      <c r="AX6" t="s">
        <v>30</v>
      </c>
      <c r="AY6" t="s">
        <v>32</v>
      </c>
      <c r="AZ6" t="s">
        <v>33</v>
      </c>
      <c r="BB6" t="s">
        <v>17</v>
      </c>
      <c r="BC6" t="s">
        <v>18</v>
      </c>
      <c r="BD6" t="s">
        <v>19</v>
      </c>
      <c r="BE6" t="s">
        <v>20</v>
      </c>
      <c r="BF6" t="s">
        <v>21</v>
      </c>
      <c r="BG6" t="s">
        <v>22</v>
      </c>
      <c r="BH6" t="s">
        <v>23</v>
      </c>
      <c r="BI6" t="s">
        <v>24</v>
      </c>
      <c r="BJ6" t="s">
        <v>25</v>
      </c>
      <c r="BK6" t="s">
        <v>26</v>
      </c>
      <c r="BL6" t="s">
        <v>27</v>
      </c>
      <c r="BM6" t="s">
        <v>28</v>
      </c>
      <c r="BN6" t="s">
        <v>29</v>
      </c>
      <c r="BO6" t="s">
        <v>30</v>
      </c>
      <c r="BQ6" t="s">
        <v>34</v>
      </c>
      <c r="BR6" t="s">
        <v>35</v>
      </c>
      <c r="BS6" t="s">
        <v>36</v>
      </c>
      <c r="BT6" t="s">
        <v>37</v>
      </c>
      <c r="BU6" t="s">
        <v>34</v>
      </c>
      <c r="BV6" t="s">
        <v>38</v>
      </c>
      <c r="BW6" t="s">
        <v>39</v>
      </c>
      <c r="BX6" t="s">
        <v>40</v>
      </c>
      <c r="BY6" t="s">
        <v>41</v>
      </c>
      <c r="CB6">
        <v>15</v>
      </c>
      <c r="CF6">
        <v>5</v>
      </c>
      <c r="CG6">
        <v>10</v>
      </c>
      <c r="CH6">
        <v>57638.080000000002</v>
      </c>
      <c r="CI6">
        <v>7.0699999999999999E-2</v>
      </c>
      <c r="CJ6">
        <v>122037.5</v>
      </c>
      <c r="CK6">
        <v>0.1497</v>
      </c>
      <c r="CN6" s="1">
        <v>0.10676637259227441</v>
      </c>
      <c r="CP6" t="s">
        <v>2</v>
      </c>
      <c r="CS6">
        <v>3.9642922565336835E-3</v>
      </c>
      <c r="CW6">
        <v>10</v>
      </c>
      <c r="CX6">
        <v>15</v>
      </c>
      <c r="CY6">
        <v>113154.9</v>
      </c>
      <c r="CZ6">
        <v>0.12280000000000001</v>
      </c>
      <c r="DA6">
        <v>300897.40000000002</v>
      </c>
      <c r="DB6">
        <v>0.3266</v>
      </c>
      <c r="DD6">
        <v>10</v>
      </c>
      <c r="DE6">
        <v>15</v>
      </c>
      <c r="DF6">
        <v>8788.8250000000007</v>
      </c>
      <c r="DG6">
        <v>5.45E-2</v>
      </c>
      <c r="DH6">
        <v>20891.97</v>
      </c>
      <c r="DI6">
        <v>0.12959999999999999</v>
      </c>
      <c r="DJ6">
        <f t="shared" si="0"/>
        <v>5.8272377570622008E-2</v>
      </c>
      <c r="DK6">
        <f t="shared" si="1"/>
        <v>0.14136125654450263</v>
      </c>
    </row>
    <row r="7" spans="1:115" x14ac:dyDescent="0.2">
      <c r="A7">
        <v>2.5</v>
      </c>
      <c r="B7">
        <v>235</v>
      </c>
      <c r="C7">
        <v>390</v>
      </c>
      <c r="D7">
        <v>124097</v>
      </c>
      <c r="E7">
        <v>11304</v>
      </c>
      <c r="F7">
        <v>3625</v>
      </c>
      <c r="G7">
        <v>17193</v>
      </c>
      <c r="H7">
        <v>1014</v>
      </c>
      <c r="I7">
        <v>5545</v>
      </c>
      <c r="J7">
        <v>32537</v>
      </c>
      <c r="K7">
        <v>3506</v>
      </c>
      <c r="L7">
        <f t="shared" ref="L7:L24" si="2">E7+F7+G7</f>
        <v>32122</v>
      </c>
      <c r="M7">
        <f t="shared" ref="M7:M24" si="3">K7+I7+H7</f>
        <v>10065</v>
      </c>
      <c r="N7">
        <f t="shared" ref="N7:N24" si="4">M7+B7+C7</f>
        <v>10690</v>
      </c>
      <c r="O7">
        <f t="shared" ref="O7:O24" si="5">SUM(B7:L7)</f>
        <v>231568</v>
      </c>
      <c r="Q7">
        <v>1</v>
      </c>
      <c r="R7" s="2">
        <f t="shared" ref="R7:R24" si="6">B7</f>
        <v>235</v>
      </c>
      <c r="S7" s="2">
        <f t="shared" ref="S7:S24" si="7">C7</f>
        <v>390</v>
      </c>
      <c r="T7" s="2">
        <f t="shared" ref="T7:T24" si="8">D7</f>
        <v>124097</v>
      </c>
      <c r="U7" s="2">
        <f t="shared" ref="U7:U24" si="9">E7</f>
        <v>11304</v>
      </c>
      <c r="V7" s="2">
        <f t="shared" ref="V7:V24" si="10">F7</f>
        <v>3625</v>
      </c>
      <c r="W7" s="2">
        <f t="shared" ref="W7:W24" si="11">G7</f>
        <v>17193</v>
      </c>
      <c r="X7" s="2">
        <f t="shared" ref="X7:X24" si="12">H7</f>
        <v>1014</v>
      </c>
      <c r="Y7" s="2">
        <f t="shared" ref="Y7:Y24" si="13">I7</f>
        <v>5545</v>
      </c>
      <c r="Z7" s="2">
        <f t="shared" ref="Z7:Z24" si="14">J7</f>
        <v>32537</v>
      </c>
      <c r="AA7" s="2">
        <f t="shared" ref="AA7:AA24" si="15">K7</f>
        <v>3506</v>
      </c>
      <c r="AB7" s="2">
        <f t="shared" ref="AB7:AB24" si="16">L7</f>
        <v>32122</v>
      </c>
      <c r="AC7" s="2">
        <f t="shared" ref="AC7:AC24" si="17">M7</f>
        <v>10065</v>
      </c>
      <c r="AD7" s="2">
        <f t="shared" ref="AD7:AD24" si="18">N7</f>
        <v>10690</v>
      </c>
      <c r="AE7" s="2">
        <f t="shared" ref="AE7:AE24" si="19">O7</f>
        <v>231568</v>
      </c>
      <c r="AF7">
        <f t="shared" ref="AF7:AF24" si="20">AD7+Z7</f>
        <v>43227</v>
      </c>
      <c r="AG7">
        <f t="shared" ref="AG7:AG24" si="21">AE7-AF7</f>
        <v>188341</v>
      </c>
      <c r="AJ7">
        <f t="shared" ref="AJ7:AJ24" si="22">A7</f>
        <v>2.5</v>
      </c>
      <c r="AK7" s="1">
        <f t="shared" ref="AK7:AK24" si="23">R7/R$27</f>
        <v>6.1913794920434185E-3</v>
      </c>
      <c r="AL7" s="1">
        <f t="shared" ref="AL7:AL24" si="24">S7/S$27</f>
        <v>1.6566840830890786E-2</v>
      </c>
      <c r="AM7" s="1">
        <f t="shared" ref="AM7:AM24" si="25">T7/T$27</f>
        <v>6.6282670107822766E-2</v>
      </c>
      <c r="AN7" s="1">
        <f t="shared" ref="AN7:AN24" si="26">U7/U$27</f>
        <v>6.5601169957171204E-2</v>
      </c>
      <c r="AO7" s="1">
        <f t="shared" ref="AO7:AO24" si="27">V7/V$27</f>
        <v>5.3441641727233861E-2</v>
      </c>
      <c r="AP7" s="1">
        <f t="shared" ref="AP7:AP24" si="28">W7/W$27</f>
        <v>6.4116859530637588E-2</v>
      </c>
      <c r="AQ7" s="1">
        <f t="shared" ref="AQ7:AQ24" si="29">X7/X$27</f>
        <v>2.6282366968196781E-2</v>
      </c>
      <c r="AR7" s="1">
        <f t="shared" ref="AR7:AR24" si="30">Y7/Y$27</f>
        <v>5.8007553012312876E-2</v>
      </c>
      <c r="AS7" s="1">
        <f t="shared" ref="AS7:AS24" si="31">Z7/Z$27</f>
        <v>0.25594896281554086</v>
      </c>
      <c r="AT7" s="1">
        <f t="shared" ref="AT7:AT24" si="32">AA7/AA$27</f>
        <v>1.5941073498988337E-2</v>
      </c>
      <c r="AU7" s="1">
        <f t="shared" ref="AU7:AU24" si="33">AB7/AB$27</f>
        <v>6.319546091253915E-2</v>
      </c>
      <c r="AV7" s="1">
        <f t="shared" ref="AV7:AV24" si="34">AC7/AC$27</f>
        <v>2.8423612072057316E-2</v>
      </c>
      <c r="AW7" s="1">
        <f t="shared" ref="AW7:AW24" si="35">AD7/AD$27</f>
        <v>2.5721600369582584E-2</v>
      </c>
      <c r="AX7" s="1">
        <f t="shared" ref="AX7:AX24" si="36">AE7/AE$27</f>
        <v>6.7481884321931904E-2</v>
      </c>
      <c r="AY7" s="1">
        <f t="shared" ref="AY7:AY24" si="37">AF7/AF$27</f>
        <v>7.9647778717476747E-2</v>
      </c>
      <c r="AZ7" s="1">
        <f t="shared" ref="AZ7:AZ24" si="38">AG7/AG$27</f>
        <v>6.5196267971369737E-2</v>
      </c>
      <c r="BB7" s="1">
        <f t="shared" ref="BB7:BO7" si="39">AK7</f>
        <v>6.1913794920434185E-3</v>
      </c>
      <c r="BC7" s="1">
        <f t="shared" si="39"/>
        <v>1.6566840830890786E-2</v>
      </c>
      <c r="BD7" s="1">
        <f t="shared" si="39"/>
        <v>6.6282670107822766E-2</v>
      </c>
      <c r="BE7" s="1">
        <f t="shared" si="39"/>
        <v>6.5601169957171204E-2</v>
      </c>
      <c r="BF7" s="1">
        <f t="shared" si="39"/>
        <v>5.3441641727233861E-2</v>
      </c>
      <c r="BG7" s="1">
        <f t="shared" si="39"/>
        <v>6.4116859530637588E-2</v>
      </c>
      <c r="BH7" s="1">
        <f t="shared" si="39"/>
        <v>2.6282366968196781E-2</v>
      </c>
      <c r="BI7" s="1">
        <f t="shared" si="39"/>
        <v>5.8007553012312876E-2</v>
      </c>
      <c r="BJ7" s="1">
        <f t="shared" si="39"/>
        <v>0.25594896281554086</v>
      </c>
      <c r="BK7" s="1">
        <f t="shared" si="39"/>
        <v>1.5941073498988337E-2</v>
      </c>
      <c r="BL7" s="1">
        <f t="shared" si="39"/>
        <v>6.319546091253915E-2</v>
      </c>
      <c r="BM7" s="1">
        <f t="shared" si="39"/>
        <v>2.8423612072057316E-2</v>
      </c>
      <c r="BN7" s="1">
        <f t="shared" si="39"/>
        <v>2.5721600369582584E-2</v>
      </c>
      <c r="BO7" s="1">
        <f t="shared" si="39"/>
        <v>6.7481884321931904E-2</v>
      </c>
      <c r="BQ7">
        <v>2.5</v>
      </c>
      <c r="BR7" s="1">
        <f t="shared" ref="BR7:BR24" si="40">AX7</f>
        <v>6.7481884321931904E-2</v>
      </c>
      <c r="BS7">
        <f t="shared" ref="BS7:BS24" si="41">LN(BR7)</f>
        <v>-2.6958960975399453</v>
      </c>
      <c r="BT7">
        <f t="shared" ref="BT7:BT24" si="42">BU7*BU7</f>
        <v>6.25</v>
      </c>
      <c r="BU7">
        <f t="shared" ref="BU7:BU24" si="43">BQ7</f>
        <v>2.5</v>
      </c>
      <c r="BV7" s="1">
        <f t="shared" ref="BV7:BV24" si="44">SQRT(BQ7)</f>
        <v>1.5811388300841898</v>
      </c>
      <c r="BW7" s="1">
        <f t="shared" ref="BW7:BW24" si="45">EXP(+$CB$2+$CA$8*BU7+$CB$8*BV7)</f>
        <v>7.4123498441438701E-2</v>
      </c>
      <c r="BX7" s="1">
        <f t="shared" ref="BX7:BX24" si="46">(BW7/$BW$26)</f>
        <v>7.7629151511508801E-2</v>
      </c>
      <c r="CF7">
        <v>10</v>
      </c>
      <c r="CG7">
        <v>15</v>
      </c>
      <c r="CH7">
        <v>84848.71</v>
      </c>
      <c r="CI7">
        <v>0.1041</v>
      </c>
      <c r="CJ7">
        <v>206886.2</v>
      </c>
      <c r="CK7">
        <v>0.25380000000000003</v>
      </c>
      <c r="CN7" s="1">
        <v>0.13958674164912846</v>
      </c>
      <c r="CP7" t="s">
        <v>5</v>
      </c>
      <c r="CS7">
        <v>2.1624546714319182E-2</v>
      </c>
      <c r="CW7">
        <v>15</v>
      </c>
      <c r="CX7">
        <v>20</v>
      </c>
      <c r="CY7">
        <v>121602.5</v>
      </c>
      <c r="CZ7">
        <v>0.13200000000000001</v>
      </c>
      <c r="DA7">
        <v>422499.9</v>
      </c>
      <c r="DB7">
        <v>0.45860000000000001</v>
      </c>
      <c r="DD7">
        <v>15</v>
      </c>
      <c r="DE7">
        <v>20</v>
      </c>
      <c r="DF7">
        <v>11704.21</v>
      </c>
      <c r="DG7">
        <v>7.2599999999999998E-2</v>
      </c>
      <c r="DH7">
        <v>32596.18</v>
      </c>
      <c r="DI7">
        <v>0.20219999999999999</v>
      </c>
      <c r="DJ7">
        <f t="shared" si="0"/>
        <v>7.7602198733715794E-2</v>
      </c>
      <c r="DK7">
        <f t="shared" si="1"/>
        <v>0.22054973821989532</v>
      </c>
    </row>
    <row r="8" spans="1:115" x14ac:dyDescent="0.2">
      <c r="A8">
        <v>7.5</v>
      </c>
      <c r="B8">
        <v>456</v>
      </c>
      <c r="C8">
        <v>894</v>
      </c>
      <c r="D8">
        <v>218922</v>
      </c>
      <c r="E8">
        <v>18429</v>
      </c>
      <c r="F8">
        <v>5830</v>
      </c>
      <c r="G8">
        <v>26285</v>
      </c>
      <c r="H8">
        <v>0</v>
      </c>
      <c r="I8">
        <v>8420</v>
      </c>
      <c r="J8">
        <v>27546</v>
      </c>
      <c r="K8">
        <v>9049</v>
      </c>
      <c r="L8">
        <f t="shared" si="2"/>
        <v>50544</v>
      </c>
      <c r="M8">
        <f t="shared" si="3"/>
        <v>17469</v>
      </c>
      <c r="N8">
        <f t="shared" si="4"/>
        <v>18819</v>
      </c>
      <c r="O8">
        <f t="shared" si="5"/>
        <v>366375</v>
      </c>
      <c r="Q8">
        <v>3</v>
      </c>
      <c r="R8" s="2">
        <f t="shared" si="6"/>
        <v>456</v>
      </c>
      <c r="S8" s="2">
        <f t="shared" si="7"/>
        <v>894</v>
      </c>
      <c r="T8" s="2">
        <f t="shared" si="8"/>
        <v>218922</v>
      </c>
      <c r="U8" s="2">
        <f t="shared" si="9"/>
        <v>18429</v>
      </c>
      <c r="V8" s="2">
        <f t="shared" si="10"/>
        <v>5830</v>
      </c>
      <c r="W8" s="2">
        <f t="shared" si="11"/>
        <v>26285</v>
      </c>
      <c r="X8" s="2">
        <f t="shared" si="12"/>
        <v>0</v>
      </c>
      <c r="Y8" s="2">
        <f t="shared" si="13"/>
        <v>8420</v>
      </c>
      <c r="Z8" s="2">
        <f t="shared" si="14"/>
        <v>27546</v>
      </c>
      <c r="AA8" s="2">
        <f t="shared" si="15"/>
        <v>9049</v>
      </c>
      <c r="AB8" s="2">
        <f t="shared" si="16"/>
        <v>50544</v>
      </c>
      <c r="AC8" s="2">
        <f t="shared" si="17"/>
        <v>17469</v>
      </c>
      <c r="AD8" s="2">
        <f t="shared" si="18"/>
        <v>18819</v>
      </c>
      <c r="AE8" s="2">
        <f t="shared" si="19"/>
        <v>366375</v>
      </c>
      <c r="AF8">
        <f t="shared" si="20"/>
        <v>46365</v>
      </c>
      <c r="AG8">
        <f t="shared" si="21"/>
        <v>320010</v>
      </c>
      <c r="AJ8">
        <f t="shared" si="22"/>
        <v>7.5</v>
      </c>
      <c r="AK8" s="1">
        <f t="shared" si="23"/>
        <v>1.2013910844135315E-2</v>
      </c>
      <c r="AL8" s="1">
        <f t="shared" si="24"/>
        <v>3.7976296673888112E-2</v>
      </c>
      <c r="AM8" s="1">
        <f t="shared" si="25"/>
        <v>0.11693058418289545</v>
      </c>
      <c r="AN8" s="1">
        <f t="shared" si="26"/>
        <v>0.10695010271945402</v>
      </c>
      <c r="AO8" s="1">
        <f t="shared" si="27"/>
        <v>8.5948902419247838E-2</v>
      </c>
      <c r="AP8" s="1">
        <f t="shared" si="28"/>
        <v>9.8023128759542194E-2</v>
      </c>
      <c r="AQ8" s="1">
        <f t="shared" si="29"/>
        <v>0</v>
      </c>
      <c r="AR8" s="1">
        <f t="shared" si="30"/>
        <v>8.8083606197236139E-2</v>
      </c>
      <c r="AS8" s="1">
        <f t="shared" si="31"/>
        <v>0.21668777483224907</v>
      </c>
      <c r="AT8" s="1">
        <f t="shared" si="32"/>
        <v>4.1143974356059744E-2</v>
      </c>
      <c r="AU8" s="1">
        <f t="shared" si="33"/>
        <v>9.9438122668681239E-2</v>
      </c>
      <c r="AV8" s="1">
        <f t="shared" si="34"/>
        <v>4.9332546377224964E-2</v>
      </c>
      <c r="AW8" s="1">
        <f t="shared" si="35"/>
        <v>4.5281084878875083E-2</v>
      </c>
      <c r="AX8" s="1">
        <f t="shared" si="36"/>
        <v>0.10676637259227441</v>
      </c>
      <c r="AY8" s="1">
        <f t="shared" si="37"/>
        <v>8.5429691170699082E-2</v>
      </c>
      <c r="AZ8" s="1">
        <f t="shared" si="38"/>
        <v>0.11077491206650718</v>
      </c>
      <c r="BB8" s="1">
        <f t="shared" ref="BB8:BB24" si="47">AK8+BB7</f>
        <v>1.8205290336178733E-2</v>
      </c>
      <c r="BC8" s="1">
        <f t="shared" ref="BC8:BC24" si="48">AL8+BC7</f>
        <v>5.4543137504778898E-2</v>
      </c>
      <c r="BD8" s="1">
        <f t="shared" ref="BD8:BD24" si="49">AM8+BD7</f>
        <v>0.18321325429071822</v>
      </c>
      <c r="BE8" s="1">
        <f t="shared" ref="BE8:BE24" si="50">AN8+BE7</f>
        <v>0.17255127267662523</v>
      </c>
      <c r="BF8" s="1">
        <f t="shared" ref="BF8:BF24" si="51">AO8+BF7</f>
        <v>0.13939054414648169</v>
      </c>
      <c r="BG8" s="1">
        <f t="shared" ref="BG8:BG24" si="52">AP8+BG7</f>
        <v>0.16213998829017978</v>
      </c>
      <c r="BH8" s="1">
        <f t="shared" ref="BH8:BH24" si="53">AQ8+BH7</f>
        <v>2.6282366968196781E-2</v>
      </c>
      <c r="BI8" s="1">
        <f t="shared" ref="BI8:BI24" si="54">AR8+BI7</f>
        <v>0.14609115920954902</v>
      </c>
      <c r="BJ8" s="1">
        <f t="shared" ref="BJ8:BJ24" si="55">AS8+BJ7</f>
        <v>0.47263673764778991</v>
      </c>
      <c r="BK8" s="1">
        <f t="shared" ref="BK8:BK24" si="56">AT8+BK7</f>
        <v>5.7085047855048081E-2</v>
      </c>
      <c r="BL8" s="1">
        <f t="shared" ref="BL8:BL24" si="57">AU8+BL7</f>
        <v>0.16263358358122038</v>
      </c>
      <c r="BM8" s="1">
        <f t="shared" ref="BM8:BM24" si="58">AV8+BM7</f>
        <v>7.7756158449282284E-2</v>
      </c>
      <c r="BN8" s="1">
        <f t="shared" ref="BN8:BN24" si="59">AW8+BN7</f>
        <v>7.1002685248457667E-2</v>
      </c>
      <c r="BO8" s="1">
        <f t="shared" ref="BO8:BO24" si="60">AX8+BO7</f>
        <v>0.17424825691420631</v>
      </c>
      <c r="BQ8">
        <v>7.5</v>
      </c>
      <c r="BR8" s="1">
        <f t="shared" si="40"/>
        <v>0.10676637259227441</v>
      </c>
      <c r="BS8">
        <f t="shared" si="41"/>
        <v>-2.2371122654041375</v>
      </c>
      <c r="BT8">
        <f t="shared" si="42"/>
        <v>56.25</v>
      </c>
      <c r="BU8">
        <f t="shared" si="43"/>
        <v>7.5</v>
      </c>
      <c r="BV8" s="1">
        <f t="shared" si="44"/>
        <v>2.7386127875258306</v>
      </c>
      <c r="BW8" s="1">
        <f t="shared" si="45"/>
        <v>0.10719744328040612</v>
      </c>
      <c r="BX8" s="1">
        <f t="shared" si="46"/>
        <v>0.11226732063429977</v>
      </c>
      <c r="BY8" t="s">
        <v>42</v>
      </c>
      <c r="CA8">
        <v>-0.10459357720794743</v>
      </c>
      <c r="CB8">
        <v>0.77056393248647326</v>
      </c>
      <c r="CF8">
        <v>15</v>
      </c>
      <c r="CG8">
        <v>20</v>
      </c>
      <c r="CH8">
        <v>105241.1</v>
      </c>
      <c r="CI8">
        <v>0.12909999999999999</v>
      </c>
      <c r="CJ8">
        <v>312127.40000000002</v>
      </c>
      <c r="CK8">
        <v>0.38300000000000001</v>
      </c>
      <c r="CN8" s="1">
        <v>0.11121712061984673</v>
      </c>
      <c r="CP8" t="s">
        <v>8</v>
      </c>
      <c r="CS8">
        <v>0.79398405999412991</v>
      </c>
      <c r="CW8">
        <v>20</v>
      </c>
      <c r="CX8">
        <v>25</v>
      </c>
      <c r="CY8">
        <v>110027.7</v>
      </c>
      <c r="CZ8">
        <v>0.11940000000000001</v>
      </c>
      <c r="DA8">
        <v>532527.6</v>
      </c>
      <c r="DB8">
        <v>0.57799999999999996</v>
      </c>
      <c r="DD8">
        <v>20</v>
      </c>
      <c r="DE8">
        <v>25</v>
      </c>
      <c r="DF8">
        <v>15783.34</v>
      </c>
      <c r="DG8">
        <v>9.7900000000000001E-2</v>
      </c>
      <c r="DH8">
        <v>48379.519999999997</v>
      </c>
      <c r="DI8">
        <v>0.30020000000000002</v>
      </c>
      <c r="DJ8">
        <f t="shared" si="0"/>
        <v>0.10464797601562223</v>
      </c>
      <c r="DK8">
        <f t="shared" si="1"/>
        <v>0.32744328097731246</v>
      </c>
    </row>
    <row r="9" spans="1:115" x14ac:dyDescent="0.2">
      <c r="A9">
        <v>12.5</v>
      </c>
      <c r="B9">
        <v>1358</v>
      </c>
      <c r="C9">
        <v>2312</v>
      </c>
      <c r="D9">
        <v>289387</v>
      </c>
      <c r="E9">
        <v>20476</v>
      </c>
      <c r="F9">
        <v>7290</v>
      </c>
      <c r="G9">
        <v>36032</v>
      </c>
      <c r="H9">
        <v>712</v>
      </c>
      <c r="I9">
        <v>10511</v>
      </c>
      <c r="J9">
        <v>28559</v>
      </c>
      <c r="K9">
        <v>18565</v>
      </c>
      <c r="L9">
        <f t="shared" si="2"/>
        <v>63798</v>
      </c>
      <c r="M9">
        <f t="shared" si="3"/>
        <v>29788</v>
      </c>
      <c r="N9">
        <f t="shared" si="4"/>
        <v>33458</v>
      </c>
      <c r="O9">
        <f t="shared" si="5"/>
        <v>479000</v>
      </c>
      <c r="Q9">
        <v>5</v>
      </c>
      <c r="R9" s="2">
        <f t="shared" si="6"/>
        <v>1358</v>
      </c>
      <c r="S9" s="2">
        <f t="shared" si="7"/>
        <v>2312</v>
      </c>
      <c r="T9" s="2">
        <f t="shared" si="8"/>
        <v>289387</v>
      </c>
      <c r="U9" s="2">
        <f t="shared" si="9"/>
        <v>20476</v>
      </c>
      <c r="V9" s="2">
        <f t="shared" si="10"/>
        <v>7290</v>
      </c>
      <c r="W9" s="2">
        <f t="shared" si="11"/>
        <v>36032</v>
      </c>
      <c r="X9" s="2">
        <f t="shared" si="12"/>
        <v>712</v>
      </c>
      <c r="Y9" s="2">
        <f t="shared" si="13"/>
        <v>10511</v>
      </c>
      <c r="Z9" s="2">
        <f t="shared" si="14"/>
        <v>28559</v>
      </c>
      <c r="AA9" s="2">
        <f t="shared" si="15"/>
        <v>18565</v>
      </c>
      <c r="AB9" s="2">
        <f t="shared" si="16"/>
        <v>63798</v>
      </c>
      <c r="AC9" s="2">
        <f t="shared" si="17"/>
        <v>29788</v>
      </c>
      <c r="AD9" s="2">
        <f t="shared" si="18"/>
        <v>33458</v>
      </c>
      <c r="AE9" s="2">
        <f t="shared" si="19"/>
        <v>479000</v>
      </c>
      <c r="AF9">
        <f t="shared" si="20"/>
        <v>62017</v>
      </c>
      <c r="AG9">
        <f t="shared" si="21"/>
        <v>416983</v>
      </c>
      <c r="AJ9">
        <f t="shared" si="22"/>
        <v>12.5</v>
      </c>
      <c r="AK9" s="1">
        <f t="shared" si="23"/>
        <v>3.5778269575297714E-2</v>
      </c>
      <c r="AL9" s="1">
        <f t="shared" si="24"/>
        <v>9.821163077184486E-2</v>
      </c>
      <c r="AM9" s="1">
        <f t="shared" si="25"/>
        <v>0.15456733889209656</v>
      </c>
      <c r="AN9" s="1">
        <f t="shared" si="26"/>
        <v>0.11882957856007056</v>
      </c>
      <c r="AO9" s="1">
        <f t="shared" si="27"/>
        <v>0.10747298432869927</v>
      </c>
      <c r="AP9" s="1">
        <f t="shared" si="28"/>
        <v>0.13437205156795984</v>
      </c>
      <c r="AQ9" s="1">
        <f t="shared" si="29"/>
        <v>1.8454679764650993E-2</v>
      </c>
      <c r="AR9" s="1">
        <f t="shared" si="30"/>
        <v>0.10995805044407947</v>
      </c>
      <c r="AS9" s="1">
        <f t="shared" si="31"/>
        <v>0.22465643510615702</v>
      </c>
      <c r="AT9" s="1">
        <f t="shared" si="32"/>
        <v>8.4411303339623073E-2</v>
      </c>
      <c r="AU9" s="1">
        <f t="shared" si="33"/>
        <v>0.12551348033429341</v>
      </c>
      <c r="AV9" s="1">
        <f t="shared" si="34"/>
        <v>8.4121466110525914E-2</v>
      </c>
      <c r="AW9" s="1">
        <f t="shared" si="35"/>
        <v>8.0504518724555107E-2</v>
      </c>
      <c r="AX9" s="1">
        <f t="shared" si="36"/>
        <v>0.13958674164912846</v>
      </c>
      <c r="AY9" s="1">
        <f t="shared" si="37"/>
        <v>0.1142692366512077</v>
      </c>
      <c r="AZ9" s="1">
        <f t="shared" si="38"/>
        <v>0.14434316164566222</v>
      </c>
      <c r="BB9" s="1">
        <f t="shared" si="47"/>
        <v>5.398355991147645E-2</v>
      </c>
      <c r="BC9" s="1">
        <f t="shared" si="48"/>
        <v>0.15275476827662376</v>
      </c>
      <c r="BD9" s="1">
        <f t="shared" si="49"/>
        <v>0.33778059318281478</v>
      </c>
      <c r="BE9" s="1">
        <f t="shared" si="50"/>
        <v>0.29138085123669577</v>
      </c>
      <c r="BF9" s="1">
        <f t="shared" si="51"/>
        <v>0.24686352847518095</v>
      </c>
      <c r="BG9" s="1">
        <f t="shared" si="52"/>
        <v>0.29651203985813962</v>
      </c>
      <c r="BH9" s="1">
        <f t="shared" si="53"/>
        <v>4.4737046732847771E-2</v>
      </c>
      <c r="BI9" s="1">
        <f t="shared" si="54"/>
        <v>0.25604920965362848</v>
      </c>
      <c r="BJ9" s="1">
        <f t="shared" si="55"/>
        <v>0.69729317275394687</v>
      </c>
      <c r="BK9" s="1">
        <f t="shared" si="56"/>
        <v>0.14149635119467116</v>
      </c>
      <c r="BL9" s="1">
        <f t="shared" si="57"/>
        <v>0.28814706391551381</v>
      </c>
      <c r="BM9" s="1">
        <f t="shared" si="58"/>
        <v>0.1618776245598082</v>
      </c>
      <c r="BN9" s="1">
        <f t="shared" si="59"/>
        <v>0.15150720397301276</v>
      </c>
      <c r="BO9" s="1">
        <f t="shared" si="60"/>
        <v>0.31383499856333474</v>
      </c>
      <c r="BQ9">
        <v>12.5</v>
      </c>
      <c r="BR9" s="1">
        <f t="shared" si="40"/>
        <v>0.13958674164912846</v>
      </c>
      <c r="BS9">
        <f t="shared" si="41"/>
        <v>-1.969069067024279</v>
      </c>
      <c r="BT9">
        <f t="shared" si="42"/>
        <v>156.25</v>
      </c>
      <c r="BU9">
        <f t="shared" si="43"/>
        <v>12.5</v>
      </c>
      <c r="BV9" s="1">
        <f t="shared" si="44"/>
        <v>3.5355339059327378</v>
      </c>
      <c r="BW9" s="1">
        <f t="shared" si="45"/>
        <v>0.11742304504084719</v>
      </c>
      <c r="BX9" s="1">
        <f t="shared" si="46"/>
        <v>0.12297653977598366</v>
      </c>
      <c r="BY9" t="s">
        <v>43</v>
      </c>
      <c r="CA9">
        <v>1.8444189174747303E-2</v>
      </c>
      <c r="CB9">
        <v>0.21587953084404246</v>
      </c>
      <c r="CF9">
        <v>20</v>
      </c>
      <c r="CG9">
        <v>25</v>
      </c>
      <c r="CH9">
        <v>100446.1</v>
      </c>
      <c r="CI9">
        <v>0.1232</v>
      </c>
      <c r="CJ9">
        <v>412573.5</v>
      </c>
      <c r="CK9">
        <v>0.50619999999999998</v>
      </c>
      <c r="CN9" s="1">
        <v>8.3277624915563134E-2</v>
      </c>
      <c r="CP9" t="s">
        <v>16</v>
      </c>
      <c r="CS9">
        <v>18</v>
      </c>
      <c r="CW9">
        <v>25</v>
      </c>
      <c r="CX9">
        <v>30</v>
      </c>
      <c r="CY9">
        <v>94345.63</v>
      </c>
      <c r="CZ9">
        <v>0.1024</v>
      </c>
      <c r="DA9">
        <v>626873.19999999995</v>
      </c>
      <c r="DB9">
        <v>0.6804</v>
      </c>
      <c r="DD9">
        <v>25</v>
      </c>
      <c r="DE9">
        <v>30</v>
      </c>
      <c r="DF9">
        <v>15528.54</v>
      </c>
      <c r="DG9">
        <v>9.6300000000000011E-2</v>
      </c>
      <c r="DH9">
        <v>63908.06</v>
      </c>
      <c r="DI9">
        <v>0.39650000000000002</v>
      </c>
      <c r="DJ9">
        <f t="shared" si="0"/>
        <v>0.10295858047014324</v>
      </c>
      <c r="DK9">
        <f t="shared" si="1"/>
        <v>0.43248254799301927</v>
      </c>
    </row>
    <row r="10" spans="1:115" x14ac:dyDescent="0.2">
      <c r="A10">
        <v>17.5</v>
      </c>
      <c r="B10">
        <v>3104</v>
      </c>
      <c r="C10">
        <v>1333</v>
      </c>
      <c r="D10">
        <v>227272</v>
      </c>
      <c r="E10">
        <v>18850</v>
      </c>
      <c r="F10">
        <v>5173</v>
      </c>
      <c r="G10">
        <v>26429</v>
      </c>
      <c r="H10">
        <v>812</v>
      </c>
      <c r="I10">
        <v>6533</v>
      </c>
      <c r="J10">
        <v>11274</v>
      </c>
      <c r="K10">
        <v>30416</v>
      </c>
      <c r="L10">
        <f t="shared" si="2"/>
        <v>50452</v>
      </c>
      <c r="M10">
        <f t="shared" si="3"/>
        <v>37761</v>
      </c>
      <c r="N10">
        <f t="shared" si="4"/>
        <v>42198</v>
      </c>
      <c r="O10">
        <f t="shared" si="5"/>
        <v>381648</v>
      </c>
      <c r="Q10">
        <v>7</v>
      </c>
      <c r="R10" s="2">
        <f t="shared" si="6"/>
        <v>3104</v>
      </c>
      <c r="S10" s="2">
        <f t="shared" si="7"/>
        <v>1333</v>
      </c>
      <c r="T10" s="2">
        <f t="shared" si="8"/>
        <v>227272</v>
      </c>
      <c r="U10" s="2">
        <f t="shared" si="9"/>
        <v>18850</v>
      </c>
      <c r="V10" s="2">
        <f t="shared" si="10"/>
        <v>5173</v>
      </c>
      <c r="W10" s="2">
        <f t="shared" si="11"/>
        <v>26429</v>
      </c>
      <c r="X10" s="2">
        <f t="shared" si="12"/>
        <v>812</v>
      </c>
      <c r="Y10" s="2">
        <f t="shared" si="13"/>
        <v>6533</v>
      </c>
      <c r="Z10" s="2">
        <f t="shared" si="14"/>
        <v>11274</v>
      </c>
      <c r="AA10" s="2">
        <f t="shared" si="15"/>
        <v>30416</v>
      </c>
      <c r="AB10" s="2">
        <f t="shared" si="16"/>
        <v>50452</v>
      </c>
      <c r="AC10" s="2">
        <f t="shared" si="17"/>
        <v>37761</v>
      </c>
      <c r="AD10" s="2">
        <f t="shared" si="18"/>
        <v>42198</v>
      </c>
      <c r="AE10" s="2">
        <f t="shared" si="19"/>
        <v>381648</v>
      </c>
      <c r="AF10">
        <f t="shared" si="20"/>
        <v>53472</v>
      </c>
      <c r="AG10">
        <f t="shared" si="21"/>
        <v>328176</v>
      </c>
      <c r="AJ10">
        <f t="shared" si="22"/>
        <v>17.5</v>
      </c>
      <c r="AK10" s="1">
        <f t="shared" si="23"/>
        <v>8.1778901886394778E-2</v>
      </c>
      <c r="AL10" s="1">
        <f t="shared" si="24"/>
        <v>5.662461237840364E-2</v>
      </c>
      <c r="AM10" s="1">
        <f t="shared" si="25"/>
        <v>0.12139048486865192</v>
      </c>
      <c r="AN10" s="1">
        <f t="shared" si="26"/>
        <v>0.10939331685179382</v>
      </c>
      <c r="AO10" s="1">
        <f t="shared" si="27"/>
        <v>7.6263065559994694E-2</v>
      </c>
      <c r="AP10" s="1">
        <f t="shared" si="28"/>
        <v>9.856013962282445E-2</v>
      </c>
      <c r="AQ10" s="1">
        <f t="shared" si="29"/>
        <v>2.1046629169798606E-2</v>
      </c>
      <c r="AR10" s="1">
        <f t="shared" si="30"/>
        <v>6.8343254072036064E-2</v>
      </c>
      <c r="AS10" s="1">
        <f t="shared" si="31"/>
        <v>8.8685761034588542E-2</v>
      </c>
      <c r="AT10" s="1">
        <f t="shared" si="32"/>
        <v>0.13829540546070429</v>
      </c>
      <c r="AU10" s="1">
        <f t="shared" si="33"/>
        <v>9.9257125769236829E-2</v>
      </c>
      <c r="AV10" s="1">
        <f t="shared" si="34"/>
        <v>0.10663725935945914</v>
      </c>
      <c r="AW10" s="1">
        <f t="shared" si="35"/>
        <v>0.10153415270305387</v>
      </c>
      <c r="AX10" s="1">
        <f t="shared" si="36"/>
        <v>0.11121712061984673</v>
      </c>
      <c r="AY10" s="1">
        <f t="shared" si="37"/>
        <v>9.8524672625463633E-2</v>
      </c>
      <c r="AZ10" s="1">
        <f t="shared" si="38"/>
        <v>0.11360166101789963</v>
      </c>
      <c r="BB10" s="1">
        <f t="shared" si="47"/>
        <v>0.13576246179787121</v>
      </c>
      <c r="BC10" s="1">
        <f t="shared" si="48"/>
        <v>0.2093793806550274</v>
      </c>
      <c r="BD10" s="1">
        <f t="shared" si="49"/>
        <v>0.45917107805146673</v>
      </c>
      <c r="BE10" s="1">
        <f t="shared" si="50"/>
        <v>0.40077416808848959</v>
      </c>
      <c r="BF10" s="1">
        <f t="shared" si="51"/>
        <v>0.32312659403517563</v>
      </c>
      <c r="BG10" s="1">
        <f t="shared" si="52"/>
        <v>0.39507217948096407</v>
      </c>
      <c r="BH10" s="1">
        <f t="shared" si="53"/>
        <v>6.5783675902646374E-2</v>
      </c>
      <c r="BI10" s="1">
        <f t="shared" si="54"/>
        <v>0.32439246372566455</v>
      </c>
      <c r="BJ10" s="1">
        <f t="shared" si="55"/>
        <v>0.78597893378853545</v>
      </c>
      <c r="BK10" s="1">
        <f t="shared" si="56"/>
        <v>0.27979175665537548</v>
      </c>
      <c r="BL10" s="1">
        <f t="shared" si="57"/>
        <v>0.38740418968475065</v>
      </c>
      <c r="BM10" s="1">
        <f t="shared" si="58"/>
        <v>0.26851488391926737</v>
      </c>
      <c r="BN10" s="1">
        <f t="shared" si="59"/>
        <v>0.25304135667606664</v>
      </c>
      <c r="BO10" s="1">
        <f t="shared" si="60"/>
        <v>0.42505211918318148</v>
      </c>
      <c r="BQ10">
        <v>17.5</v>
      </c>
      <c r="BR10" s="1">
        <f t="shared" si="40"/>
        <v>0.11121712061984673</v>
      </c>
      <c r="BS10">
        <f t="shared" si="41"/>
        <v>-2.1962709466079566</v>
      </c>
      <c r="BT10">
        <f t="shared" si="42"/>
        <v>306.25</v>
      </c>
      <c r="BU10">
        <f t="shared" si="43"/>
        <v>17.5</v>
      </c>
      <c r="BV10" s="1">
        <f t="shared" si="44"/>
        <v>4.1833001326703778</v>
      </c>
      <c r="BW10" s="1">
        <f t="shared" si="45"/>
        <v>0.11465878010256146</v>
      </c>
      <c r="BX10" s="1">
        <f t="shared" si="46"/>
        <v>0.12008153959083091</v>
      </c>
      <c r="BY10" t="s">
        <v>44</v>
      </c>
      <c r="CA10">
        <f>CA8/CA9</f>
        <v>-5.6708145973231936</v>
      </c>
      <c r="CB10">
        <f>CB8/CB9</f>
        <v>3.5694163752984558</v>
      </c>
      <c r="CF10">
        <v>25</v>
      </c>
      <c r="CG10">
        <v>30</v>
      </c>
      <c r="CH10">
        <v>91347.71</v>
      </c>
      <c r="CI10">
        <v>0.11210000000000001</v>
      </c>
      <c r="CJ10">
        <v>503921.2</v>
      </c>
      <c r="CK10">
        <v>0.61829999999999996</v>
      </c>
      <c r="CN10" s="1">
        <v>0.14219401216590249</v>
      </c>
      <c r="CP10" t="s">
        <v>41</v>
      </c>
      <c r="CS10">
        <v>16</v>
      </c>
      <c r="CW10">
        <v>30</v>
      </c>
      <c r="CX10">
        <v>35</v>
      </c>
      <c r="CY10">
        <v>74472.39</v>
      </c>
      <c r="CZ10">
        <v>8.0800000000000011E-2</v>
      </c>
      <c r="DA10">
        <v>701345.6</v>
      </c>
      <c r="DB10">
        <v>0.76119999999999999</v>
      </c>
      <c r="DD10">
        <v>30</v>
      </c>
      <c r="DE10">
        <v>35</v>
      </c>
      <c r="DF10">
        <v>15909.61</v>
      </c>
      <c r="DG10">
        <v>9.870000000000001E-2</v>
      </c>
      <c r="DH10">
        <v>79817.67</v>
      </c>
      <c r="DI10">
        <v>0.49519999999999997</v>
      </c>
      <c r="DJ10">
        <f t="shared" si="0"/>
        <v>0.1054851815710682</v>
      </c>
      <c r="DK10">
        <f t="shared" si="1"/>
        <v>0.54013961605584648</v>
      </c>
    </row>
    <row r="11" spans="1:115" x14ac:dyDescent="0.2">
      <c r="A11">
        <v>22.5</v>
      </c>
      <c r="B11">
        <v>1290</v>
      </c>
      <c r="C11">
        <v>1253</v>
      </c>
      <c r="D11">
        <v>152823</v>
      </c>
      <c r="E11">
        <v>14493</v>
      </c>
      <c r="F11">
        <v>3903</v>
      </c>
      <c r="G11">
        <v>20575</v>
      </c>
      <c r="H11">
        <v>3694</v>
      </c>
      <c r="I11">
        <v>15184</v>
      </c>
      <c r="J11">
        <v>6658</v>
      </c>
      <c r="K11">
        <v>26928</v>
      </c>
      <c r="L11">
        <f t="shared" si="2"/>
        <v>38971</v>
      </c>
      <c r="M11">
        <f t="shared" si="3"/>
        <v>45806</v>
      </c>
      <c r="N11">
        <f t="shared" si="4"/>
        <v>48349</v>
      </c>
      <c r="O11">
        <f t="shared" si="5"/>
        <v>285772</v>
      </c>
      <c r="Q11">
        <v>9</v>
      </c>
      <c r="R11" s="2">
        <f t="shared" si="6"/>
        <v>1290</v>
      </c>
      <c r="S11" s="2">
        <f t="shared" si="7"/>
        <v>1253</v>
      </c>
      <c r="T11" s="2">
        <f t="shared" si="8"/>
        <v>152823</v>
      </c>
      <c r="U11" s="2">
        <f t="shared" si="9"/>
        <v>14493</v>
      </c>
      <c r="V11" s="2">
        <f t="shared" si="10"/>
        <v>3903</v>
      </c>
      <c r="W11" s="2">
        <f t="shared" si="11"/>
        <v>20575</v>
      </c>
      <c r="X11" s="2">
        <f t="shared" si="12"/>
        <v>3694</v>
      </c>
      <c r="Y11" s="2">
        <f t="shared" si="13"/>
        <v>15184</v>
      </c>
      <c r="Z11" s="2">
        <f t="shared" si="14"/>
        <v>6658</v>
      </c>
      <c r="AA11" s="2">
        <f t="shared" si="15"/>
        <v>26928</v>
      </c>
      <c r="AB11" s="2">
        <f t="shared" si="16"/>
        <v>38971</v>
      </c>
      <c r="AC11" s="2">
        <f t="shared" si="17"/>
        <v>45806</v>
      </c>
      <c r="AD11" s="2">
        <f t="shared" si="18"/>
        <v>48349</v>
      </c>
      <c r="AE11" s="2">
        <f t="shared" si="19"/>
        <v>285772</v>
      </c>
      <c r="AF11">
        <f t="shared" si="20"/>
        <v>55007</v>
      </c>
      <c r="AG11">
        <f t="shared" si="21"/>
        <v>230765</v>
      </c>
      <c r="AJ11">
        <f t="shared" si="22"/>
        <v>22.5</v>
      </c>
      <c r="AK11" s="1">
        <f t="shared" si="23"/>
        <v>3.3986721466961745E-2</v>
      </c>
      <c r="AL11" s="1">
        <f t="shared" si="24"/>
        <v>5.3226286054118346E-2</v>
      </c>
      <c r="AM11" s="1">
        <f t="shared" si="25"/>
        <v>8.1625796706510226E-2</v>
      </c>
      <c r="AN11" s="1">
        <f t="shared" si="26"/>
        <v>8.4108081757721373E-2</v>
      </c>
      <c r="AO11" s="1">
        <f t="shared" si="27"/>
        <v>5.7540062803143104E-2</v>
      </c>
      <c r="AP11" s="1">
        <f t="shared" si="28"/>
        <v>7.6729156333558327E-2</v>
      </c>
      <c r="AQ11" s="1">
        <f t="shared" si="29"/>
        <v>9.574661102615277E-2</v>
      </c>
      <c r="AR11" s="1">
        <f t="shared" si="30"/>
        <v>0.15884340575995648</v>
      </c>
      <c r="AS11" s="1">
        <f t="shared" si="31"/>
        <v>5.2374471968093896E-2</v>
      </c>
      <c r="AT11" s="1">
        <f t="shared" si="32"/>
        <v>0.12243617432423216</v>
      </c>
      <c r="AU11" s="1">
        <f t="shared" si="33"/>
        <v>7.666989313313502E-2</v>
      </c>
      <c r="AV11" s="1">
        <f t="shared" si="34"/>
        <v>0.12935638098088995</v>
      </c>
      <c r="AW11" s="1">
        <f t="shared" si="35"/>
        <v>0.11633429899615981</v>
      </c>
      <c r="AX11" s="1">
        <f t="shared" si="36"/>
        <v>8.3277624915563134E-2</v>
      </c>
      <c r="AY11" s="1">
        <f t="shared" si="37"/>
        <v>0.10135298225442994</v>
      </c>
      <c r="AZ11" s="1">
        <f t="shared" si="38"/>
        <v>7.9881793015929278E-2</v>
      </c>
      <c r="BB11" s="1">
        <f t="shared" si="47"/>
        <v>0.16974918326483296</v>
      </c>
      <c r="BC11" s="1">
        <f t="shared" si="48"/>
        <v>0.26260566670914576</v>
      </c>
      <c r="BD11" s="1">
        <f t="shared" si="49"/>
        <v>0.540796874757977</v>
      </c>
      <c r="BE11" s="1">
        <f t="shared" si="50"/>
        <v>0.48488224984621098</v>
      </c>
      <c r="BF11" s="1">
        <f t="shared" si="51"/>
        <v>0.38066665683831874</v>
      </c>
      <c r="BG11" s="1">
        <f t="shared" si="52"/>
        <v>0.47180133581452238</v>
      </c>
      <c r="BH11" s="1">
        <f t="shared" si="53"/>
        <v>0.16153028692879914</v>
      </c>
      <c r="BI11" s="1">
        <f t="shared" si="54"/>
        <v>0.48323586948562103</v>
      </c>
      <c r="BJ11" s="1">
        <f t="shared" si="55"/>
        <v>0.83835340575662931</v>
      </c>
      <c r="BK11" s="1">
        <f t="shared" si="56"/>
        <v>0.40222793097960763</v>
      </c>
      <c r="BL11" s="1">
        <f t="shared" si="57"/>
        <v>0.46407408281788565</v>
      </c>
      <c r="BM11" s="1">
        <f t="shared" si="58"/>
        <v>0.39787126490015734</v>
      </c>
      <c r="BN11" s="1">
        <f t="shared" si="59"/>
        <v>0.36937565567222647</v>
      </c>
      <c r="BO11" s="1">
        <f t="shared" si="60"/>
        <v>0.50832974409874465</v>
      </c>
      <c r="BQ11">
        <v>22.5</v>
      </c>
      <c r="BR11" s="1">
        <f t="shared" si="40"/>
        <v>8.3277624915563134E-2</v>
      </c>
      <c r="BS11">
        <f t="shared" si="41"/>
        <v>-2.4855753743476781</v>
      </c>
      <c r="BT11">
        <f t="shared" si="42"/>
        <v>506.25</v>
      </c>
      <c r="BU11">
        <f t="shared" si="43"/>
        <v>22.5</v>
      </c>
      <c r="BV11" s="1">
        <f t="shared" si="44"/>
        <v>4.7434164902525691</v>
      </c>
      <c r="BW11" s="1">
        <f t="shared" si="45"/>
        <v>0.10464756339768136</v>
      </c>
      <c r="BX11" s="1">
        <f t="shared" si="46"/>
        <v>0.109596844794461</v>
      </c>
      <c r="CF11">
        <v>30</v>
      </c>
      <c r="CG11">
        <v>35</v>
      </c>
      <c r="CH11">
        <v>79071.19</v>
      </c>
      <c r="CI11">
        <v>9.7000000000000003E-2</v>
      </c>
      <c r="CJ11">
        <v>582992.4</v>
      </c>
      <c r="CK11">
        <v>0.71530000000000005</v>
      </c>
      <c r="CN11" s="1">
        <v>6.3218223325964468E-2</v>
      </c>
      <c r="CW11">
        <v>35</v>
      </c>
      <c r="CX11">
        <v>40</v>
      </c>
      <c r="CY11">
        <v>61356.41</v>
      </c>
      <c r="CZ11">
        <v>6.6600000000000006E-2</v>
      </c>
      <c r="DA11">
        <v>762702</v>
      </c>
      <c r="DB11">
        <v>0.82779999999999998</v>
      </c>
      <c r="DD11">
        <v>35</v>
      </c>
      <c r="DE11">
        <v>40</v>
      </c>
      <c r="DF11">
        <v>14143.77</v>
      </c>
      <c r="DG11">
        <v>8.7800000000000003E-2</v>
      </c>
      <c r="DH11">
        <v>93961.45</v>
      </c>
      <c r="DI11">
        <v>0.58299999999999996</v>
      </c>
      <c r="DJ11">
        <f t="shared" si="0"/>
        <v>9.3777166539558629E-2</v>
      </c>
      <c r="DK11">
        <f t="shared" si="1"/>
        <v>0.63590750436300181</v>
      </c>
    </row>
    <row r="12" spans="1:115" x14ac:dyDescent="0.2">
      <c r="A12">
        <v>27.5</v>
      </c>
      <c r="B12">
        <v>4874</v>
      </c>
      <c r="C12">
        <v>3413</v>
      </c>
      <c r="D12">
        <v>287686</v>
      </c>
      <c r="E12">
        <v>28543</v>
      </c>
      <c r="F12">
        <v>9960</v>
      </c>
      <c r="G12">
        <v>34361</v>
      </c>
      <c r="H12">
        <v>3097</v>
      </c>
      <c r="I12">
        <v>5978</v>
      </c>
      <c r="J12">
        <v>11511</v>
      </c>
      <c r="K12">
        <v>25660</v>
      </c>
      <c r="L12">
        <f t="shared" si="2"/>
        <v>72864</v>
      </c>
      <c r="M12">
        <f t="shared" si="3"/>
        <v>34735</v>
      </c>
      <c r="N12">
        <f t="shared" si="4"/>
        <v>43022</v>
      </c>
      <c r="O12">
        <f t="shared" si="5"/>
        <v>487947</v>
      </c>
      <c r="Q12">
        <v>11</v>
      </c>
      <c r="R12" s="2">
        <f t="shared" si="6"/>
        <v>4874</v>
      </c>
      <c r="S12" s="2">
        <f t="shared" si="7"/>
        <v>3413</v>
      </c>
      <c r="T12" s="2">
        <f t="shared" si="8"/>
        <v>287686</v>
      </c>
      <c r="U12" s="2">
        <f t="shared" si="9"/>
        <v>28543</v>
      </c>
      <c r="V12" s="2">
        <f t="shared" si="10"/>
        <v>9960</v>
      </c>
      <c r="W12" s="2">
        <f t="shared" si="11"/>
        <v>34361</v>
      </c>
      <c r="X12" s="2">
        <f t="shared" si="12"/>
        <v>3097</v>
      </c>
      <c r="Y12" s="2">
        <f t="shared" si="13"/>
        <v>5978</v>
      </c>
      <c r="Z12" s="2">
        <f t="shared" si="14"/>
        <v>11511</v>
      </c>
      <c r="AA12" s="2">
        <f t="shared" si="15"/>
        <v>25660</v>
      </c>
      <c r="AB12" s="2">
        <f t="shared" si="16"/>
        <v>72864</v>
      </c>
      <c r="AC12" s="2">
        <f t="shared" si="17"/>
        <v>34735</v>
      </c>
      <c r="AD12" s="2">
        <f t="shared" si="18"/>
        <v>43022</v>
      </c>
      <c r="AE12" s="2">
        <f t="shared" si="19"/>
        <v>487947</v>
      </c>
      <c r="AF12">
        <f t="shared" si="20"/>
        <v>54533</v>
      </c>
      <c r="AG12">
        <f t="shared" si="21"/>
        <v>433414</v>
      </c>
      <c r="AJ12">
        <f t="shared" si="22"/>
        <v>27.5</v>
      </c>
      <c r="AK12" s="1">
        <f t="shared" si="23"/>
        <v>0.12841184529455157</v>
      </c>
      <c r="AL12" s="1">
        <f t="shared" si="24"/>
        <v>0.14498109680982116</v>
      </c>
      <c r="AM12" s="1">
        <f t="shared" si="25"/>
        <v>0.15365880103982452</v>
      </c>
      <c r="AN12" s="1">
        <f t="shared" si="26"/>
        <v>0.16564527548545097</v>
      </c>
      <c r="AO12" s="1">
        <f t="shared" si="27"/>
        <v>0.14683551768365496</v>
      </c>
      <c r="AP12" s="1">
        <f t="shared" si="28"/>
        <v>0.12814048800862202</v>
      </c>
      <c r="AQ12" s="1">
        <f t="shared" si="29"/>
        <v>8.027267307742153E-2</v>
      </c>
      <c r="AR12" s="1">
        <f t="shared" si="30"/>
        <v>6.2537268152859579E-2</v>
      </c>
      <c r="AS12" s="1">
        <f t="shared" si="31"/>
        <v>9.0550097150004324E-2</v>
      </c>
      <c r="AT12" s="1">
        <f t="shared" si="32"/>
        <v>0.11667083456475777</v>
      </c>
      <c r="AU12" s="1">
        <f t="shared" si="33"/>
        <v>0.14334954435997924</v>
      </c>
      <c r="AV12" s="1">
        <f t="shared" si="34"/>
        <v>9.8091819704213698E-2</v>
      </c>
      <c r="AW12" s="1">
        <f t="shared" si="35"/>
        <v>0.10351680927036314</v>
      </c>
      <c r="AX12" s="1">
        <f t="shared" si="36"/>
        <v>0.14219401216590249</v>
      </c>
      <c r="AY12" s="1">
        <f t="shared" si="37"/>
        <v>0.10047961498138107</v>
      </c>
      <c r="AZ12" s="1">
        <f t="shared" si="38"/>
        <v>0.15003092946593277</v>
      </c>
      <c r="BB12" s="1">
        <f t="shared" si="47"/>
        <v>0.29816102855938453</v>
      </c>
      <c r="BC12" s="1">
        <f t="shared" si="48"/>
        <v>0.40758676351896694</v>
      </c>
      <c r="BD12" s="1">
        <f t="shared" si="49"/>
        <v>0.69445567579780154</v>
      </c>
      <c r="BE12" s="1">
        <f t="shared" si="50"/>
        <v>0.65052752533166192</v>
      </c>
      <c r="BF12" s="1">
        <f t="shared" si="51"/>
        <v>0.52750217452197368</v>
      </c>
      <c r="BG12" s="1">
        <f t="shared" si="52"/>
        <v>0.59994182382314443</v>
      </c>
      <c r="BH12" s="1">
        <f t="shared" si="53"/>
        <v>0.24180296000622067</v>
      </c>
      <c r="BI12" s="1">
        <f t="shared" si="54"/>
        <v>0.54577313763848057</v>
      </c>
      <c r="BJ12" s="1">
        <f t="shared" si="55"/>
        <v>0.92890350290663359</v>
      </c>
      <c r="BK12" s="1">
        <f t="shared" si="56"/>
        <v>0.51889876554436543</v>
      </c>
      <c r="BL12" s="1">
        <f t="shared" si="57"/>
        <v>0.60742362717786491</v>
      </c>
      <c r="BM12" s="1">
        <f t="shared" si="58"/>
        <v>0.49596308460437105</v>
      </c>
      <c r="BN12" s="1">
        <f t="shared" si="59"/>
        <v>0.47289246494258963</v>
      </c>
      <c r="BO12" s="1">
        <f t="shared" si="60"/>
        <v>0.65052375626464709</v>
      </c>
      <c r="BQ12">
        <v>27.5</v>
      </c>
      <c r="BR12" s="1">
        <f t="shared" si="40"/>
        <v>0.14219401216590249</v>
      </c>
      <c r="BS12">
        <f t="shared" si="41"/>
        <v>-1.9505628710375431</v>
      </c>
      <c r="BT12">
        <f t="shared" si="42"/>
        <v>756.25</v>
      </c>
      <c r="BU12">
        <f t="shared" si="43"/>
        <v>27.5</v>
      </c>
      <c r="BV12" s="1">
        <f t="shared" si="44"/>
        <v>5.2440442408507577</v>
      </c>
      <c r="BW12" s="1">
        <f t="shared" si="45"/>
        <v>9.1231110922602346E-2</v>
      </c>
      <c r="BX12" s="1">
        <f t="shared" si="46"/>
        <v>9.5545864419354865E-2</v>
      </c>
      <c r="CF12">
        <v>35</v>
      </c>
      <c r="CG12">
        <v>40</v>
      </c>
      <c r="CH12">
        <v>59240.69</v>
      </c>
      <c r="CI12">
        <v>7.2700000000000001E-2</v>
      </c>
      <c r="CJ12">
        <v>642233.1</v>
      </c>
      <c r="CK12">
        <v>0.78800000000000003</v>
      </c>
      <c r="CN12" s="1">
        <v>6.175853650149582E-2</v>
      </c>
      <c r="CP12" t="s">
        <v>42</v>
      </c>
      <c r="CR12">
        <v>0.93125024005454637</v>
      </c>
      <c r="CW12">
        <v>40</v>
      </c>
      <c r="CX12">
        <v>45</v>
      </c>
      <c r="CY12">
        <v>44350.25</v>
      </c>
      <c r="CZ12">
        <v>4.8100000000000004E-2</v>
      </c>
      <c r="DA12">
        <v>807052.3</v>
      </c>
      <c r="DB12">
        <v>0.87590000000000001</v>
      </c>
      <c r="DD12">
        <v>40</v>
      </c>
      <c r="DE12">
        <v>45</v>
      </c>
      <c r="DF12">
        <v>12215.24</v>
      </c>
      <c r="DG12">
        <v>7.5800000000000006E-2</v>
      </c>
      <c r="DH12">
        <v>106176.7</v>
      </c>
      <c r="DI12">
        <v>0.65869999999999995</v>
      </c>
      <c r="DJ12">
        <f t="shared" si="0"/>
        <v>8.0990471126204555E-2</v>
      </c>
      <c r="DK12">
        <f t="shared" si="1"/>
        <v>0.71847731239092505</v>
      </c>
    </row>
    <row r="13" spans="1:115" x14ac:dyDescent="0.2">
      <c r="A13">
        <v>32.5</v>
      </c>
      <c r="B13">
        <v>3673</v>
      </c>
      <c r="C13">
        <v>2972</v>
      </c>
      <c r="D13">
        <v>107976</v>
      </c>
      <c r="E13">
        <v>10478</v>
      </c>
      <c r="F13">
        <v>4806</v>
      </c>
      <c r="G13">
        <v>19408</v>
      </c>
      <c r="H13">
        <v>4458</v>
      </c>
      <c r="I13">
        <v>6036</v>
      </c>
      <c r="J13">
        <v>2321</v>
      </c>
      <c r="K13">
        <v>20117</v>
      </c>
      <c r="L13">
        <f t="shared" si="2"/>
        <v>34692</v>
      </c>
      <c r="M13">
        <f t="shared" si="3"/>
        <v>30611</v>
      </c>
      <c r="N13">
        <f t="shared" si="4"/>
        <v>37256</v>
      </c>
      <c r="O13">
        <f t="shared" si="5"/>
        <v>216937</v>
      </c>
      <c r="Q13">
        <v>13</v>
      </c>
      <c r="R13" s="2">
        <f t="shared" si="6"/>
        <v>3673</v>
      </c>
      <c r="S13" s="2">
        <f t="shared" si="7"/>
        <v>2972</v>
      </c>
      <c r="T13" s="2">
        <f t="shared" si="8"/>
        <v>107976</v>
      </c>
      <c r="U13" s="2">
        <f t="shared" si="9"/>
        <v>10478</v>
      </c>
      <c r="V13" s="2">
        <f t="shared" si="10"/>
        <v>4806</v>
      </c>
      <c r="W13" s="2">
        <f t="shared" si="11"/>
        <v>19408</v>
      </c>
      <c r="X13" s="2">
        <f t="shared" si="12"/>
        <v>4458</v>
      </c>
      <c r="Y13" s="2">
        <f t="shared" si="13"/>
        <v>6036</v>
      </c>
      <c r="Z13" s="2">
        <f t="shared" si="14"/>
        <v>2321</v>
      </c>
      <c r="AA13" s="2">
        <f t="shared" si="15"/>
        <v>20117</v>
      </c>
      <c r="AB13" s="2">
        <f t="shared" si="16"/>
        <v>34692</v>
      </c>
      <c r="AC13" s="2">
        <f t="shared" si="17"/>
        <v>30611</v>
      </c>
      <c r="AD13" s="2">
        <f t="shared" si="18"/>
        <v>37256</v>
      </c>
      <c r="AE13" s="2">
        <f t="shared" si="19"/>
        <v>216937</v>
      </c>
      <c r="AF13">
        <f t="shared" si="20"/>
        <v>39577</v>
      </c>
      <c r="AG13">
        <f t="shared" si="21"/>
        <v>177360</v>
      </c>
      <c r="AJ13">
        <f t="shared" si="22"/>
        <v>32.5</v>
      </c>
      <c r="AK13" s="1">
        <f t="shared" si="23"/>
        <v>9.676994414585309E-2</v>
      </c>
      <c r="AL13" s="1">
        <f t="shared" si="24"/>
        <v>0.1262478229471985</v>
      </c>
      <c r="AM13" s="1">
        <f t="shared" si="25"/>
        <v>5.7672124125178463E-2</v>
      </c>
      <c r="AN13" s="1">
        <f t="shared" si="26"/>
        <v>6.0807595436238496E-2</v>
      </c>
      <c r="AO13" s="1">
        <f t="shared" si="27"/>
        <v>7.0852560038920251E-2</v>
      </c>
      <c r="AP13" s="1">
        <f t="shared" si="28"/>
        <v>7.2377130795708386E-2</v>
      </c>
      <c r="AQ13" s="1">
        <f t="shared" si="29"/>
        <v>0.11554910448148052</v>
      </c>
      <c r="AR13" s="1">
        <f t="shared" si="30"/>
        <v>6.3144019834503254E-2</v>
      </c>
      <c r="AS13" s="1">
        <f t="shared" si="31"/>
        <v>1.8257907695696293E-2</v>
      </c>
      <c r="AT13" s="1">
        <f t="shared" si="32"/>
        <v>9.1467933707686355E-2</v>
      </c>
      <c r="AU13" s="1">
        <f t="shared" si="33"/>
        <v>6.8251569951366914E-2</v>
      </c>
      <c r="AV13" s="1">
        <f t="shared" si="34"/>
        <v>8.6445622368380173E-2</v>
      </c>
      <c r="AW13" s="1">
        <f t="shared" si="35"/>
        <v>8.9643025572419904E-2</v>
      </c>
      <c r="AX13" s="1">
        <f t="shared" si="36"/>
        <v>6.3218223325964468E-2</v>
      </c>
      <c r="AY13" s="1">
        <f t="shared" si="37"/>
        <v>7.2922482205602449E-2</v>
      </c>
      <c r="AZ13" s="1">
        <f t="shared" si="38"/>
        <v>6.1395076416723579E-2</v>
      </c>
      <c r="BB13" s="1">
        <f t="shared" si="47"/>
        <v>0.39493097270523764</v>
      </c>
      <c r="BC13" s="1">
        <f t="shared" si="48"/>
        <v>0.53383458646616544</v>
      </c>
      <c r="BD13" s="1">
        <f t="shared" si="49"/>
        <v>0.75212779992297996</v>
      </c>
      <c r="BE13" s="1">
        <f t="shared" si="50"/>
        <v>0.7113351207679004</v>
      </c>
      <c r="BF13" s="1">
        <f t="shared" si="51"/>
        <v>0.59835473456089394</v>
      </c>
      <c r="BG13" s="1">
        <f t="shared" si="52"/>
        <v>0.67231895461885283</v>
      </c>
      <c r="BH13" s="1">
        <f t="shared" si="53"/>
        <v>0.35735206448770118</v>
      </c>
      <c r="BI13" s="1">
        <f t="shared" si="54"/>
        <v>0.60891715747298381</v>
      </c>
      <c r="BJ13" s="1">
        <f t="shared" si="55"/>
        <v>0.94716141060232983</v>
      </c>
      <c r="BK13" s="1">
        <f t="shared" si="56"/>
        <v>0.61036669925205178</v>
      </c>
      <c r="BL13" s="1">
        <f t="shared" si="57"/>
        <v>0.67567519712923185</v>
      </c>
      <c r="BM13" s="1">
        <f t="shared" si="58"/>
        <v>0.58240870697275127</v>
      </c>
      <c r="BN13" s="1">
        <f t="shared" si="59"/>
        <v>0.56253549051500951</v>
      </c>
      <c r="BO13" s="1">
        <f t="shared" si="60"/>
        <v>0.71374197959061159</v>
      </c>
      <c r="BQ13">
        <v>32.5</v>
      </c>
      <c r="BR13" s="1">
        <f t="shared" si="40"/>
        <v>6.3218223325964468E-2</v>
      </c>
      <c r="BS13">
        <f t="shared" si="41"/>
        <v>-2.7611626756271388</v>
      </c>
      <c r="BT13">
        <f t="shared" si="42"/>
        <v>1056.25</v>
      </c>
      <c r="BU13">
        <f t="shared" si="43"/>
        <v>32.5</v>
      </c>
      <c r="BV13" s="1">
        <f t="shared" si="44"/>
        <v>5.7008771254956896</v>
      </c>
      <c r="BW13" s="1">
        <f t="shared" si="45"/>
        <v>7.6895474489443005E-2</v>
      </c>
      <c r="BX13" s="1">
        <f t="shared" si="46"/>
        <v>8.0532227501463702E-2</v>
      </c>
      <c r="CF13">
        <v>40</v>
      </c>
      <c r="CG13">
        <v>45</v>
      </c>
      <c r="CH13">
        <v>45496.91</v>
      </c>
      <c r="CI13">
        <v>5.5800000000000002E-2</v>
      </c>
      <c r="CJ13">
        <v>687730</v>
      </c>
      <c r="CK13">
        <v>0.84379999999999999</v>
      </c>
      <c r="CN13" s="1">
        <v>7.0718606533825154E-2</v>
      </c>
      <c r="CP13" t="s">
        <v>43</v>
      </c>
      <c r="CR13">
        <v>0.11859078030943793</v>
      </c>
      <c r="CW13">
        <v>45</v>
      </c>
      <c r="CX13">
        <v>50</v>
      </c>
      <c r="CY13">
        <v>32546.87</v>
      </c>
      <c r="CZ13">
        <v>3.5300000000000005E-2</v>
      </c>
      <c r="DA13">
        <v>839599.1</v>
      </c>
      <c r="DB13">
        <v>0.9113</v>
      </c>
      <c r="DD13">
        <v>45</v>
      </c>
      <c r="DE13">
        <v>50</v>
      </c>
      <c r="DF13">
        <v>10557.04</v>
      </c>
      <c r="DG13">
        <v>6.5500000000000003E-2</v>
      </c>
      <c r="DH13">
        <v>116733.7</v>
      </c>
      <c r="DI13">
        <v>0.72419999999999995</v>
      </c>
      <c r="DJ13">
        <f t="shared" si="0"/>
        <v>6.9996139519009584E-2</v>
      </c>
      <c r="DK13">
        <f t="shared" si="1"/>
        <v>0.78992146596858648</v>
      </c>
    </row>
    <row r="14" spans="1:115" x14ac:dyDescent="0.2">
      <c r="A14">
        <v>37.5</v>
      </c>
      <c r="B14">
        <v>6791</v>
      </c>
      <c r="C14">
        <v>3547</v>
      </c>
      <c r="D14">
        <v>98384</v>
      </c>
      <c r="E14">
        <v>10480</v>
      </c>
      <c r="F14">
        <v>3769</v>
      </c>
      <c r="G14">
        <v>20993</v>
      </c>
      <c r="H14">
        <v>4522</v>
      </c>
      <c r="I14">
        <v>8355</v>
      </c>
      <c r="J14">
        <v>1099</v>
      </c>
      <c r="K14">
        <v>18746</v>
      </c>
      <c r="L14">
        <f t="shared" si="2"/>
        <v>35242</v>
      </c>
      <c r="M14">
        <f t="shared" si="3"/>
        <v>31623</v>
      </c>
      <c r="N14">
        <f t="shared" si="4"/>
        <v>41961</v>
      </c>
      <c r="O14">
        <f t="shared" si="5"/>
        <v>211928</v>
      </c>
      <c r="Q14">
        <v>15</v>
      </c>
      <c r="R14" s="2">
        <f t="shared" si="6"/>
        <v>6791</v>
      </c>
      <c r="S14" s="2">
        <f t="shared" si="7"/>
        <v>3547</v>
      </c>
      <c r="T14" s="2">
        <f t="shared" si="8"/>
        <v>98384</v>
      </c>
      <c r="U14" s="2">
        <f t="shared" si="9"/>
        <v>10480</v>
      </c>
      <c r="V14" s="2">
        <f t="shared" si="10"/>
        <v>3769</v>
      </c>
      <c r="W14" s="2">
        <f t="shared" si="11"/>
        <v>20993</v>
      </c>
      <c r="X14" s="2">
        <f t="shared" si="12"/>
        <v>4522</v>
      </c>
      <c r="Y14" s="2">
        <f t="shared" si="13"/>
        <v>8355</v>
      </c>
      <c r="Z14" s="2">
        <f t="shared" si="14"/>
        <v>1099</v>
      </c>
      <c r="AA14" s="2">
        <f t="shared" si="15"/>
        <v>18746</v>
      </c>
      <c r="AB14" s="2">
        <f t="shared" si="16"/>
        <v>35242</v>
      </c>
      <c r="AC14" s="2">
        <f t="shared" si="17"/>
        <v>31623</v>
      </c>
      <c r="AD14" s="2">
        <f t="shared" si="18"/>
        <v>41961</v>
      </c>
      <c r="AE14" s="2">
        <f t="shared" si="19"/>
        <v>211928</v>
      </c>
      <c r="AF14">
        <f t="shared" si="20"/>
        <v>43060</v>
      </c>
      <c r="AG14">
        <f t="shared" si="21"/>
        <v>168868</v>
      </c>
      <c r="AJ14">
        <f t="shared" si="22"/>
        <v>37.5</v>
      </c>
      <c r="AK14" s="1">
        <f t="shared" si="23"/>
        <v>0.17891769417219938</v>
      </c>
      <c r="AL14" s="1">
        <f t="shared" si="24"/>
        <v>0.15067329340299904</v>
      </c>
      <c r="AM14" s="1">
        <f t="shared" si="25"/>
        <v>5.2548846594905885E-2</v>
      </c>
      <c r="AN14" s="1">
        <f t="shared" si="26"/>
        <v>6.0819202154206858E-2</v>
      </c>
      <c r="AO14" s="1">
        <f t="shared" si="27"/>
        <v>5.5564564874467426E-2</v>
      </c>
      <c r="AP14" s="1">
        <f t="shared" si="28"/>
        <v>7.8287979533919319E-2</v>
      </c>
      <c r="AQ14" s="1">
        <f t="shared" si="29"/>
        <v>0.11720795210077499</v>
      </c>
      <c r="AR14" s="1">
        <f t="shared" si="30"/>
        <v>8.740362586435961E-2</v>
      </c>
      <c r="AS14" s="1">
        <f t="shared" si="31"/>
        <v>8.6451704254934189E-3</v>
      </c>
      <c r="AT14" s="1">
        <f t="shared" si="32"/>
        <v>8.5234273762702623E-2</v>
      </c>
      <c r="AU14" s="1">
        <f t="shared" si="33"/>
        <v>6.933361663282811E-2</v>
      </c>
      <c r="AV14" s="1">
        <f t="shared" si="34"/>
        <v>8.9303515604040581E-2</v>
      </c>
      <c r="AW14" s="1">
        <f t="shared" si="35"/>
        <v>0.10096389832629138</v>
      </c>
      <c r="AX14" s="1">
        <f t="shared" si="36"/>
        <v>6.175853650149582E-2</v>
      </c>
      <c r="AY14" s="1">
        <f t="shared" si="37"/>
        <v>7.9340073370221129E-2</v>
      </c>
      <c r="AZ14" s="1">
        <f t="shared" si="38"/>
        <v>5.8455479050176354E-2</v>
      </c>
      <c r="BB14" s="1">
        <f t="shared" si="47"/>
        <v>0.57384866687743696</v>
      </c>
      <c r="BC14" s="1">
        <f t="shared" si="48"/>
        <v>0.6845078798691645</v>
      </c>
      <c r="BD14" s="1">
        <f t="shared" si="49"/>
        <v>0.80467664651788584</v>
      </c>
      <c r="BE14" s="1">
        <f t="shared" si="50"/>
        <v>0.77215432292210728</v>
      </c>
      <c r="BF14" s="1">
        <f t="shared" si="51"/>
        <v>0.65391929943536131</v>
      </c>
      <c r="BG14" s="1">
        <f t="shared" si="52"/>
        <v>0.75060693415277213</v>
      </c>
      <c r="BH14" s="1">
        <f t="shared" si="53"/>
        <v>0.47456001658847619</v>
      </c>
      <c r="BI14" s="1">
        <f t="shared" si="54"/>
        <v>0.69632078333734337</v>
      </c>
      <c r="BJ14" s="1">
        <f t="shared" si="55"/>
        <v>0.95580658102782323</v>
      </c>
      <c r="BK14" s="1">
        <f t="shared" si="56"/>
        <v>0.69560097301475443</v>
      </c>
      <c r="BL14" s="1">
        <f t="shared" si="57"/>
        <v>0.74500881376205996</v>
      </c>
      <c r="BM14" s="1">
        <f t="shared" si="58"/>
        <v>0.67171222257679186</v>
      </c>
      <c r="BN14" s="1">
        <f t="shared" si="59"/>
        <v>0.66349938884130089</v>
      </c>
      <c r="BO14" s="1">
        <f t="shared" si="60"/>
        <v>0.77550051609210735</v>
      </c>
      <c r="BQ14">
        <v>37.5</v>
      </c>
      <c r="BR14" s="1">
        <f t="shared" si="40"/>
        <v>6.175853650149582E-2</v>
      </c>
      <c r="BS14">
        <f t="shared" si="41"/>
        <v>-2.7845230700895214</v>
      </c>
      <c r="BT14">
        <f t="shared" si="42"/>
        <v>1406.25</v>
      </c>
      <c r="BU14">
        <f t="shared" si="43"/>
        <v>37.5</v>
      </c>
      <c r="BV14" s="1">
        <f t="shared" si="44"/>
        <v>6.1237243569579451</v>
      </c>
      <c r="BW14" s="1">
        <f t="shared" si="45"/>
        <v>6.3137189185620529E-2</v>
      </c>
      <c r="BX14" s="1">
        <f t="shared" si="46"/>
        <v>6.6123247396014301E-2</v>
      </c>
      <c r="CF14">
        <v>45</v>
      </c>
      <c r="CG14">
        <v>50</v>
      </c>
      <c r="CH14">
        <v>36801.870000000003</v>
      </c>
      <c r="CI14">
        <v>4.5200000000000004E-2</v>
      </c>
      <c r="CJ14">
        <v>724531.9</v>
      </c>
      <c r="CK14">
        <v>0.88890000000000002</v>
      </c>
      <c r="CN14" s="1">
        <v>3.4541453182490287E-2</v>
      </c>
      <c r="CR14">
        <f>CR12/CR13</f>
        <v>7.8526360786617895</v>
      </c>
      <c r="CW14">
        <v>50</v>
      </c>
      <c r="CX14">
        <v>55</v>
      </c>
      <c r="CY14">
        <v>24806.54</v>
      </c>
      <c r="CZ14">
        <v>2.69E-2</v>
      </c>
      <c r="DA14">
        <v>864405.7</v>
      </c>
      <c r="DB14">
        <v>0.93820000000000003</v>
      </c>
      <c r="DD14">
        <v>50</v>
      </c>
      <c r="DE14">
        <v>55</v>
      </c>
      <c r="DF14">
        <v>7346.2759999999998</v>
      </c>
      <c r="DG14">
        <v>4.5600000000000002E-2</v>
      </c>
      <c r="DH14">
        <v>124080</v>
      </c>
      <c r="DI14">
        <v>0.76980000000000004</v>
      </c>
      <c r="DJ14">
        <f t="shared" si="0"/>
        <v>4.8707872646229583E-2</v>
      </c>
      <c r="DK14">
        <f t="shared" si="1"/>
        <v>0.83965968586387452</v>
      </c>
    </row>
    <row r="15" spans="1:115" x14ac:dyDescent="0.2">
      <c r="A15">
        <v>42.5</v>
      </c>
      <c r="B15">
        <v>4987</v>
      </c>
      <c r="C15">
        <v>2290</v>
      </c>
      <c r="D15">
        <v>122961</v>
      </c>
      <c r="E15">
        <v>14820</v>
      </c>
      <c r="F15">
        <v>6292</v>
      </c>
      <c r="G15">
        <v>21286</v>
      </c>
      <c r="H15">
        <v>5628</v>
      </c>
      <c r="I15">
        <v>5275</v>
      </c>
      <c r="J15">
        <v>2863</v>
      </c>
      <c r="K15">
        <v>13875</v>
      </c>
      <c r="L15">
        <f t="shared" si="2"/>
        <v>42398</v>
      </c>
      <c r="M15">
        <f t="shared" si="3"/>
        <v>24778</v>
      </c>
      <c r="N15">
        <f t="shared" si="4"/>
        <v>32055</v>
      </c>
      <c r="O15">
        <f t="shared" si="5"/>
        <v>242675</v>
      </c>
      <c r="Q15">
        <v>17</v>
      </c>
      <c r="R15" s="2">
        <f t="shared" si="6"/>
        <v>4987</v>
      </c>
      <c r="S15" s="2">
        <f t="shared" si="7"/>
        <v>2290</v>
      </c>
      <c r="T15" s="2">
        <f t="shared" si="8"/>
        <v>122961</v>
      </c>
      <c r="U15" s="2">
        <f t="shared" si="9"/>
        <v>14820</v>
      </c>
      <c r="V15" s="2">
        <f t="shared" si="10"/>
        <v>6292</v>
      </c>
      <c r="W15" s="2">
        <f t="shared" si="11"/>
        <v>21286</v>
      </c>
      <c r="X15" s="2">
        <f t="shared" si="12"/>
        <v>5628</v>
      </c>
      <c r="Y15" s="2">
        <f t="shared" si="13"/>
        <v>5275</v>
      </c>
      <c r="Z15" s="2">
        <f t="shared" si="14"/>
        <v>2863</v>
      </c>
      <c r="AA15" s="2">
        <f t="shared" si="15"/>
        <v>13875</v>
      </c>
      <c r="AB15" s="2">
        <f t="shared" si="16"/>
        <v>42398</v>
      </c>
      <c r="AC15" s="2">
        <f t="shared" si="17"/>
        <v>24778</v>
      </c>
      <c r="AD15" s="2">
        <f t="shared" si="18"/>
        <v>32055</v>
      </c>
      <c r="AE15" s="2">
        <f t="shared" si="19"/>
        <v>242675</v>
      </c>
      <c r="AF15">
        <f t="shared" si="20"/>
        <v>34918</v>
      </c>
      <c r="AG15">
        <f t="shared" si="21"/>
        <v>207757</v>
      </c>
      <c r="AJ15">
        <f t="shared" si="22"/>
        <v>42.5</v>
      </c>
      <c r="AK15" s="1">
        <f t="shared" si="23"/>
        <v>0.13138897670987459</v>
      </c>
      <c r="AL15" s="1">
        <f t="shared" si="24"/>
        <v>9.7277091032666407E-2</v>
      </c>
      <c r="AM15" s="1">
        <f t="shared" si="25"/>
        <v>6.5675909966622856E-2</v>
      </c>
      <c r="AN15" s="1">
        <f t="shared" si="26"/>
        <v>8.6005780145548244E-2</v>
      </c>
      <c r="AO15" s="1">
        <f t="shared" si="27"/>
        <v>9.2759947516622199E-2</v>
      </c>
      <c r="AP15" s="1">
        <f t="shared" si="28"/>
        <v>7.9380647471014462E-2</v>
      </c>
      <c r="AQ15" s="1">
        <f t="shared" si="29"/>
        <v>0.14587491252170759</v>
      </c>
      <c r="AR15" s="1">
        <f t="shared" si="30"/>
        <v>5.5183019321902692E-2</v>
      </c>
      <c r="AS15" s="1">
        <f t="shared" si="31"/>
        <v>2.252149493010706E-2</v>
      </c>
      <c r="AT15" s="1">
        <f t="shared" si="32"/>
        <v>6.3086821106235938E-2</v>
      </c>
      <c r="AU15" s="1">
        <f t="shared" si="33"/>
        <v>8.3412027637439601E-2</v>
      </c>
      <c r="AV15" s="1">
        <f t="shared" si="34"/>
        <v>6.9973200190902751E-2</v>
      </c>
      <c r="AW15" s="1">
        <f t="shared" si="35"/>
        <v>7.7128709059585562E-2</v>
      </c>
      <c r="AX15" s="1">
        <f t="shared" si="36"/>
        <v>7.0718606533825154E-2</v>
      </c>
      <c r="AY15" s="1">
        <f t="shared" si="37"/>
        <v>6.4338055781267556E-2</v>
      </c>
      <c r="AZ15" s="1">
        <f t="shared" si="38"/>
        <v>7.1917325727950163E-2</v>
      </c>
      <c r="BB15" s="1">
        <f t="shared" si="47"/>
        <v>0.70523764358731156</v>
      </c>
      <c r="BC15" s="1">
        <f t="shared" si="48"/>
        <v>0.78178497090183097</v>
      </c>
      <c r="BD15" s="1">
        <f t="shared" si="49"/>
        <v>0.87035255648450871</v>
      </c>
      <c r="BE15" s="1">
        <f t="shared" si="50"/>
        <v>0.85816010306765556</v>
      </c>
      <c r="BF15" s="1">
        <f t="shared" si="51"/>
        <v>0.74667924695198351</v>
      </c>
      <c r="BG15" s="1">
        <f t="shared" si="52"/>
        <v>0.82998758162378661</v>
      </c>
      <c r="BH15" s="1">
        <f t="shared" si="53"/>
        <v>0.62043492911018383</v>
      </c>
      <c r="BI15" s="1">
        <f t="shared" si="54"/>
        <v>0.7515038026592461</v>
      </c>
      <c r="BJ15" s="1">
        <f t="shared" si="55"/>
        <v>0.97832807595793025</v>
      </c>
      <c r="BK15" s="1">
        <f t="shared" si="56"/>
        <v>0.75868779412099041</v>
      </c>
      <c r="BL15" s="1">
        <f t="shared" si="57"/>
        <v>0.82842084139949956</v>
      </c>
      <c r="BM15" s="1">
        <f t="shared" si="58"/>
        <v>0.74168542276769456</v>
      </c>
      <c r="BN15" s="1">
        <f t="shared" si="59"/>
        <v>0.74062809790088646</v>
      </c>
      <c r="BO15" s="1">
        <f t="shared" si="60"/>
        <v>0.84621912262593246</v>
      </c>
      <c r="BQ15">
        <v>42.5</v>
      </c>
      <c r="BR15" s="1">
        <f t="shared" si="40"/>
        <v>7.0718606533825154E-2</v>
      </c>
      <c r="BS15">
        <f t="shared" si="41"/>
        <v>-2.6490465648369041</v>
      </c>
      <c r="BT15">
        <f t="shared" si="42"/>
        <v>1806.25</v>
      </c>
      <c r="BU15">
        <f t="shared" si="43"/>
        <v>42.5</v>
      </c>
      <c r="BV15" s="1">
        <f t="shared" si="44"/>
        <v>6.5192024052026492</v>
      </c>
      <c r="BW15" s="1">
        <f t="shared" si="45"/>
        <v>5.0758708486417267E-2</v>
      </c>
      <c r="BX15" s="1">
        <f t="shared" si="46"/>
        <v>5.3159329422823628E-2</v>
      </c>
      <c r="CF15">
        <v>50</v>
      </c>
      <c r="CG15">
        <v>55</v>
      </c>
      <c r="CH15">
        <v>25139.67</v>
      </c>
      <c r="CI15">
        <v>3.0800000000000001E-2</v>
      </c>
      <c r="CJ15">
        <v>749671.6</v>
      </c>
      <c r="CK15">
        <v>0.91979999999999995</v>
      </c>
      <c r="CN15" s="1">
        <v>2.2124935670619586E-2</v>
      </c>
      <c r="CW15">
        <v>55</v>
      </c>
      <c r="CX15">
        <v>60</v>
      </c>
      <c r="CY15">
        <v>18619.13</v>
      </c>
      <c r="CZ15">
        <v>2.0200000000000003E-2</v>
      </c>
      <c r="DA15">
        <v>883024.8</v>
      </c>
      <c r="DB15">
        <v>0.95840000000000003</v>
      </c>
      <c r="DD15">
        <v>55</v>
      </c>
      <c r="DE15">
        <v>60</v>
      </c>
      <c r="DF15">
        <v>6415.4949999999999</v>
      </c>
      <c r="DG15">
        <v>3.9800000000000002E-2</v>
      </c>
      <c r="DH15">
        <v>130495.5</v>
      </c>
      <c r="DI15">
        <v>0.80959999999999999</v>
      </c>
      <c r="DJ15">
        <f t="shared" si="0"/>
        <v>4.2536533261549478E-2</v>
      </c>
      <c r="DK15">
        <f t="shared" si="1"/>
        <v>0.88307155322862141</v>
      </c>
    </row>
    <row r="16" spans="1:115" x14ac:dyDescent="0.2">
      <c r="A16">
        <v>47.5</v>
      </c>
      <c r="B16">
        <v>3951</v>
      </c>
      <c r="C16">
        <v>671</v>
      </c>
      <c r="D16">
        <v>58245</v>
      </c>
      <c r="E16">
        <v>4629</v>
      </c>
      <c r="F16">
        <v>2901</v>
      </c>
      <c r="G16">
        <v>12071</v>
      </c>
      <c r="H16">
        <v>2867</v>
      </c>
      <c r="I16">
        <v>3026</v>
      </c>
      <c r="J16">
        <v>756</v>
      </c>
      <c r="K16">
        <v>9813</v>
      </c>
      <c r="L16">
        <f t="shared" si="2"/>
        <v>19601</v>
      </c>
      <c r="M16">
        <f t="shared" si="3"/>
        <v>15706</v>
      </c>
      <c r="N16">
        <f t="shared" si="4"/>
        <v>20328</v>
      </c>
      <c r="O16">
        <f t="shared" si="5"/>
        <v>118531</v>
      </c>
      <c r="Q16">
        <v>19</v>
      </c>
      <c r="R16" s="2">
        <f t="shared" si="6"/>
        <v>3951</v>
      </c>
      <c r="S16" s="2">
        <f t="shared" si="7"/>
        <v>671</v>
      </c>
      <c r="T16" s="2">
        <f t="shared" si="8"/>
        <v>58245</v>
      </c>
      <c r="U16" s="2">
        <f t="shared" si="9"/>
        <v>4629</v>
      </c>
      <c r="V16" s="2">
        <f t="shared" si="10"/>
        <v>2901</v>
      </c>
      <c r="W16" s="2">
        <f t="shared" si="11"/>
        <v>12071</v>
      </c>
      <c r="X16" s="2">
        <f t="shared" si="12"/>
        <v>2867</v>
      </c>
      <c r="Y16" s="2">
        <f t="shared" si="13"/>
        <v>3026</v>
      </c>
      <c r="Z16" s="2">
        <f t="shared" si="14"/>
        <v>756</v>
      </c>
      <c r="AA16" s="2">
        <f t="shared" si="15"/>
        <v>9813</v>
      </c>
      <c r="AB16" s="2">
        <f t="shared" si="16"/>
        <v>19601</v>
      </c>
      <c r="AC16" s="2">
        <f t="shared" si="17"/>
        <v>15706</v>
      </c>
      <c r="AD16" s="2">
        <f t="shared" si="18"/>
        <v>20328</v>
      </c>
      <c r="AE16" s="2">
        <f t="shared" si="19"/>
        <v>118531</v>
      </c>
      <c r="AF16">
        <f t="shared" si="20"/>
        <v>21084</v>
      </c>
      <c r="AG16">
        <f t="shared" si="21"/>
        <v>97447</v>
      </c>
      <c r="AJ16">
        <f t="shared" si="22"/>
        <v>47.5</v>
      </c>
      <c r="AK16" s="1">
        <f t="shared" si="23"/>
        <v>0.1040942143534619</v>
      </c>
      <c r="AL16" s="1">
        <f t="shared" si="24"/>
        <v>2.8503462044942866E-2</v>
      </c>
      <c r="AM16" s="1">
        <f t="shared" si="25"/>
        <v>3.1109810232561121E-2</v>
      </c>
      <c r="AN16" s="1">
        <f t="shared" si="26"/>
        <v>2.6863748737769422E-2</v>
      </c>
      <c r="AO16" s="1">
        <f t="shared" si="27"/>
        <v>4.2768055903642875E-2</v>
      </c>
      <c r="AP16" s="1">
        <f t="shared" si="28"/>
        <v>4.5015681463056262E-2</v>
      </c>
      <c r="AQ16" s="1">
        <f t="shared" si="29"/>
        <v>7.4311189445582015E-2</v>
      </c>
      <c r="AR16" s="1">
        <f t="shared" si="30"/>
        <v>3.1655699804374889E-2</v>
      </c>
      <c r="AS16" s="1">
        <f t="shared" si="31"/>
        <v>5.9469962162629897E-3</v>
      </c>
      <c r="AT16" s="1">
        <f t="shared" si="32"/>
        <v>4.4617727965080595E-2</v>
      </c>
      <c r="AU16" s="1">
        <f t="shared" si="33"/>
        <v>3.8562176369674364E-2</v>
      </c>
      <c r="AV16" s="1">
        <f t="shared" si="34"/>
        <v>4.4353825256207867E-2</v>
      </c>
      <c r="AW16" s="1">
        <f t="shared" si="35"/>
        <v>4.8911945024590717E-2</v>
      </c>
      <c r="AX16" s="1">
        <f t="shared" si="36"/>
        <v>3.4541453182490287E-2</v>
      </c>
      <c r="AY16" s="1">
        <f t="shared" si="37"/>
        <v>3.8848260727769209E-2</v>
      </c>
      <c r="AZ16" s="1">
        <f t="shared" si="38"/>
        <v>3.3732329790146946E-2</v>
      </c>
      <c r="BB16" s="1">
        <f t="shared" si="47"/>
        <v>0.80933185794077345</v>
      </c>
      <c r="BC16" s="1">
        <f t="shared" si="48"/>
        <v>0.81028843294677388</v>
      </c>
      <c r="BD16" s="1">
        <f t="shared" si="49"/>
        <v>0.90146236671706981</v>
      </c>
      <c r="BE16" s="1">
        <f t="shared" si="50"/>
        <v>0.88502385180542498</v>
      </c>
      <c r="BF16" s="1">
        <f t="shared" si="51"/>
        <v>0.78944730285562636</v>
      </c>
      <c r="BG16" s="1">
        <f t="shared" si="52"/>
        <v>0.87500326308684284</v>
      </c>
      <c r="BH16" s="1">
        <f t="shared" si="53"/>
        <v>0.69474611855576585</v>
      </c>
      <c r="BI16" s="1">
        <f t="shared" si="54"/>
        <v>0.78315950246362098</v>
      </c>
      <c r="BJ16" s="1">
        <f t="shared" si="55"/>
        <v>0.9842750721741933</v>
      </c>
      <c r="BK16" s="1">
        <f t="shared" si="56"/>
        <v>0.80330552208607098</v>
      </c>
      <c r="BL16" s="1">
        <f t="shared" si="57"/>
        <v>0.86698301776917397</v>
      </c>
      <c r="BM16" s="1">
        <f t="shared" si="58"/>
        <v>0.78603924802390246</v>
      </c>
      <c r="BN16" s="1">
        <f t="shared" si="59"/>
        <v>0.78954004292547719</v>
      </c>
      <c r="BO16" s="1">
        <f t="shared" si="60"/>
        <v>0.88076057580842271</v>
      </c>
      <c r="BQ16">
        <v>47.5</v>
      </c>
      <c r="BR16" s="1">
        <f t="shared" si="40"/>
        <v>3.4541453182490287E-2</v>
      </c>
      <c r="BS16">
        <f t="shared" si="41"/>
        <v>-3.3655951346966773</v>
      </c>
      <c r="BT16">
        <f t="shared" si="42"/>
        <v>2256.25</v>
      </c>
      <c r="BU16">
        <f t="shared" si="43"/>
        <v>47.5</v>
      </c>
      <c r="BV16" s="1">
        <f t="shared" si="44"/>
        <v>6.8920243760451108</v>
      </c>
      <c r="BW16" s="1">
        <f t="shared" si="45"/>
        <v>4.0100887928489884E-2</v>
      </c>
      <c r="BX16" s="1">
        <f t="shared" si="46"/>
        <v>4.1997449799353451E-2</v>
      </c>
      <c r="CF16">
        <v>55</v>
      </c>
      <c r="CG16">
        <v>60</v>
      </c>
      <c r="CH16">
        <v>19130.740000000002</v>
      </c>
      <c r="CI16">
        <v>2.35E-2</v>
      </c>
      <c r="CJ16">
        <v>768802.3</v>
      </c>
      <c r="CK16">
        <v>0.94320000000000004</v>
      </c>
      <c r="CN16" s="1">
        <v>4.2937930817430449E-2</v>
      </c>
      <c r="CW16">
        <v>60</v>
      </c>
      <c r="CX16">
        <v>65</v>
      </c>
      <c r="CY16">
        <v>13412.11</v>
      </c>
      <c r="CZ16">
        <v>1.46E-2</v>
      </c>
      <c r="DA16">
        <v>896437</v>
      </c>
      <c r="DB16">
        <v>0.97289999999999999</v>
      </c>
      <c r="DD16">
        <v>60</v>
      </c>
      <c r="DE16">
        <v>65</v>
      </c>
      <c r="DF16">
        <v>4852.6509999999998</v>
      </c>
      <c r="DG16">
        <v>3.0100000000000002E-2</v>
      </c>
      <c r="DH16">
        <v>135348.20000000001</v>
      </c>
      <c r="DI16">
        <v>0.8397</v>
      </c>
      <c r="DJ16">
        <f t="shared" si="0"/>
        <v>3.2174438709435725E-2</v>
      </c>
      <c r="DK16">
        <f t="shared" si="1"/>
        <v>0.91590314136125672</v>
      </c>
    </row>
    <row r="17" spans="1:115" x14ac:dyDescent="0.2">
      <c r="A17">
        <v>52.5</v>
      </c>
      <c r="B17">
        <v>1167</v>
      </c>
      <c r="C17">
        <v>780</v>
      </c>
      <c r="D17">
        <v>28114</v>
      </c>
      <c r="E17">
        <v>3749</v>
      </c>
      <c r="F17">
        <v>2401</v>
      </c>
      <c r="G17">
        <v>4401</v>
      </c>
      <c r="H17">
        <v>4567</v>
      </c>
      <c r="I17">
        <v>8687</v>
      </c>
      <c r="J17">
        <v>0</v>
      </c>
      <c r="K17">
        <v>11506</v>
      </c>
      <c r="L17">
        <f t="shared" si="2"/>
        <v>10551</v>
      </c>
      <c r="M17">
        <f t="shared" si="3"/>
        <v>24760</v>
      </c>
      <c r="N17">
        <f t="shared" si="4"/>
        <v>26707</v>
      </c>
      <c r="O17">
        <f t="shared" si="5"/>
        <v>75923</v>
      </c>
      <c r="Q17">
        <v>21</v>
      </c>
      <c r="R17" s="2">
        <f t="shared" si="6"/>
        <v>1167</v>
      </c>
      <c r="S17" s="2">
        <f t="shared" si="7"/>
        <v>780</v>
      </c>
      <c r="T17" s="2">
        <f t="shared" si="8"/>
        <v>28114</v>
      </c>
      <c r="U17" s="2">
        <f t="shared" si="9"/>
        <v>3749</v>
      </c>
      <c r="V17" s="2">
        <f t="shared" si="10"/>
        <v>2401</v>
      </c>
      <c r="W17" s="2">
        <f t="shared" si="11"/>
        <v>4401</v>
      </c>
      <c r="X17" s="2">
        <f t="shared" si="12"/>
        <v>4567</v>
      </c>
      <c r="Y17" s="2">
        <f t="shared" si="13"/>
        <v>8687</v>
      </c>
      <c r="Z17" s="2">
        <f t="shared" si="14"/>
        <v>0</v>
      </c>
      <c r="AA17" s="2">
        <f t="shared" si="15"/>
        <v>11506</v>
      </c>
      <c r="AB17" s="2">
        <f t="shared" si="16"/>
        <v>10551</v>
      </c>
      <c r="AC17" s="2">
        <f t="shared" si="17"/>
        <v>24760</v>
      </c>
      <c r="AD17" s="2">
        <f t="shared" si="18"/>
        <v>26707</v>
      </c>
      <c r="AE17" s="2">
        <f t="shared" si="19"/>
        <v>75923</v>
      </c>
      <c r="AF17">
        <f t="shared" si="20"/>
        <v>26707</v>
      </c>
      <c r="AG17">
        <f t="shared" si="21"/>
        <v>49216</v>
      </c>
      <c r="AJ17">
        <f t="shared" si="22"/>
        <v>52.5</v>
      </c>
      <c r="AK17" s="1">
        <f t="shared" si="23"/>
        <v>3.074612709453051E-2</v>
      </c>
      <c r="AL17" s="1">
        <f t="shared" si="24"/>
        <v>3.3133681661781572E-2</v>
      </c>
      <c r="AM17" s="1">
        <f t="shared" si="25"/>
        <v>1.5016245255012849E-2</v>
      </c>
      <c r="AN17" s="1">
        <f t="shared" si="26"/>
        <v>2.1756792831690984E-2</v>
      </c>
      <c r="AO17" s="1">
        <f t="shared" si="27"/>
        <v>3.5396794975748554E-2</v>
      </c>
      <c r="AP17" s="1">
        <f t="shared" si="28"/>
        <v>1.6412394509063923E-2</v>
      </c>
      <c r="AQ17" s="1">
        <f t="shared" si="29"/>
        <v>0.11837432933309142</v>
      </c>
      <c r="AR17" s="1">
        <f t="shared" si="30"/>
        <v>9.0876756179975107E-2</v>
      </c>
      <c r="AS17" s="1">
        <f t="shared" si="31"/>
        <v>0</v>
      </c>
      <c r="AT17" s="1">
        <f t="shared" si="32"/>
        <v>5.2315456839520769E-2</v>
      </c>
      <c r="AU17" s="1">
        <f t="shared" si="33"/>
        <v>2.0757590065631049E-2</v>
      </c>
      <c r="AV17" s="1">
        <f t="shared" si="34"/>
        <v>6.9922368097778353E-2</v>
      </c>
      <c r="AW17" s="1">
        <f t="shared" si="35"/>
        <v>6.4260690464961842E-2</v>
      </c>
      <c r="AX17" s="1">
        <f t="shared" si="36"/>
        <v>2.2124935670619586E-2</v>
      </c>
      <c r="AY17" s="1">
        <f t="shared" si="37"/>
        <v>4.9208902450034731E-2</v>
      </c>
      <c r="AZ17" s="1">
        <f t="shared" si="38"/>
        <v>1.7036649080545037E-2</v>
      </c>
      <c r="BB17" s="1">
        <f t="shared" si="47"/>
        <v>0.84007798503530395</v>
      </c>
      <c r="BC17" s="1">
        <f t="shared" si="48"/>
        <v>0.84342211460855543</v>
      </c>
      <c r="BD17" s="1">
        <f t="shared" si="49"/>
        <v>0.91647861197208269</v>
      </c>
      <c r="BE17" s="1">
        <f t="shared" si="50"/>
        <v>0.90678064463711594</v>
      </c>
      <c r="BF17" s="1">
        <f t="shared" si="51"/>
        <v>0.82484409783137491</v>
      </c>
      <c r="BG17" s="1">
        <f t="shared" si="52"/>
        <v>0.8914156575959068</v>
      </c>
      <c r="BH17" s="1">
        <f t="shared" si="53"/>
        <v>0.81312044788885729</v>
      </c>
      <c r="BI17" s="1">
        <f t="shared" si="54"/>
        <v>0.87403625864359613</v>
      </c>
      <c r="BJ17" s="1">
        <f t="shared" si="55"/>
        <v>0.9842750721741933</v>
      </c>
      <c r="BK17" s="1">
        <f t="shared" si="56"/>
        <v>0.85562097892559175</v>
      </c>
      <c r="BL17" s="1">
        <f t="shared" si="57"/>
        <v>0.88774060783480502</v>
      </c>
      <c r="BM17" s="1">
        <f t="shared" si="58"/>
        <v>0.85596161612168076</v>
      </c>
      <c r="BN17" s="1">
        <f t="shared" si="59"/>
        <v>0.85380073339043905</v>
      </c>
      <c r="BO17" s="1">
        <f t="shared" si="60"/>
        <v>0.90288551147904228</v>
      </c>
      <c r="BQ17">
        <v>52.5</v>
      </c>
      <c r="BR17" s="1">
        <f t="shared" si="40"/>
        <v>2.2124935670619586E-2</v>
      </c>
      <c r="BS17">
        <f t="shared" si="41"/>
        <v>-3.8110499956349884</v>
      </c>
      <c r="BT17">
        <f t="shared" si="42"/>
        <v>2756.25</v>
      </c>
      <c r="BU17">
        <f t="shared" si="43"/>
        <v>52.5</v>
      </c>
      <c r="BV17" s="1">
        <f t="shared" si="44"/>
        <v>7.245688373094719</v>
      </c>
      <c r="BW17" s="1">
        <f t="shared" si="45"/>
        <v>3.1216640788253928E-2</v>
      </c>
      <c r="BX17" s="1">
        <f t="shared" si="46"/>
        <v>3.2693024322728852E-2</v>
      </c>
      <c r="CF17">
        <v>60</v>
      </c>
      <c r="CG17">
        <v>65</v>
      </c>
      <c r="CH17">
        <v>14698.7</v>
      </c>
      <c r="CI17">
        <v>1.8000000000000002E-2</v>
      </c>
      <c r="CJ17">
        <v>783501</v>
      </c>
      <c r="CK17">
        <v>0.96130000000000004</v>
      </c>
      <c r="CN17" s="1">
        <v>1.2722792387597704E-2</v>
      </c>
      <c r="CW17">
        <v>65</v>
      </c>
      <c r="CX17">
        <v>70</v>
      </c>
      <c r="CY17">
        <v>9979.6090000000004</v>
      </c>
      <c r="CZ17">
        <v>1.0800000000000001E-2</v>
      </c>
      <c r="DA17">
        <v>906416.6</v>
      </c>
      <c r="DB17">
        <v>0.98380000000000001</v>
      </c>
      <c r="DD17">
        <v>65</v>
      </c>
      <c r="DE17">
        <v>70</v>
      </c>
      <c r="DF17">
        <v>4354.2110000000002</v>
      </c>
      <c r="DG17">
        <v>2.7E-2</v>
      </c>
      <c r="DH17">
        <v>139702.39999999999</v>
      </c>
      <c r="DI17">
        <v>0.86670000000000003</v>
      </c>
      <c r="DJ17">
        <f t="shared" si="0"/>
        <v>2.8869641552102313E-2</v>
      </c>
      <c r="DK17">
        <f t="shared" si="1"/>
        <v>0.9453534031413614</v>
      </c>
    </row>
    <row r="18" spans="1:115" x14ac:dyDescent="0.2">
      <c r="A18">
        <v>57.5</v>
      </c>
      <c r="B18">
        <v>1903</v>
      </c>
      <c r="C18">
        <v>1282</v>
      </c>
      <c r="D18">
        <v>74642</v>
      </c>
      <c r="E18">
        <v>7128</v>
      </c>
      <c r="F18">
        <v>3702</v>
      </c>
      <c r="G18">
        <v>16245</v>
      </c>
      <c r="H18">
        <v>1430</v>
      </c>
      <c r="I18">
        <v>2311</v>
      </c>
      <c r="J18">
        <v>974</v>
      </c>
      <c r="K18">
        <v>10652</v>
      </c>
      <c r="L18">
        <f t="shared" si="2"/>
        <v>27075</v>
      </c>
      <c r="M18">
        <f t="shared" si="3"/>
        <v>14393</v>
      </c>
      <c r="N18">
        <f t="shared" si="4"/>
        <v>17578</v>
      </c>
      <c r="O18">
        <f t="shared" si="5"/>
        <v>147344</v>
      </c>
      <c r="Q18">
        <v>23</v>
      </c>
      <c r="R18" s="2">
        <f t="shared" si="6"/>
        <v>1903</v>
      </c>
      <c r="S18" s="2">
        <f t="shared" si="7"/>
        <v>1282</v>
      </c>
      <c r="T18" s="2">
        <f t="shared" si="8"/>
        <v>74642</v>
      </c>
      <c r="U18" s="2">
        <f t="shared" si="9"/>
        <v>7128</v>
      </c>
      <c r="V18" s="2">
        <f t="shared" si="10"/>
        <v>3702</v>
      </c>
      <c r="W18" s="2">
        <f t="shared" si="11"/>
        <v>16245</v>
      </c>
      <c r="X18" s="2">
        <f t="shared" si="12"/>
        <v>1430</v>
      </c>
      <c r="Y18" s="2">
        <f t="shared" si="13"/>
        <v>2311</v>
      </c>
      <c r="Z18" s="2">
        <f t="shared" si="14"/>
        <v>974</v>
      </c>
      <c r="AA18" s="2">
        <f t="shared" si="15"/>
        <v>10652</v>
      </c>
      <c r="AB18" s="2">
        <f t="shared" si="16"/>
        <v>27075</v>
      </c>
      <c r="AC18" s="2">
        <f t="shared" si="17"/>
        <v>14393</v>
      </c>
      <c r="AD18" s="2">
        <f t="shared" si="18"/>
        <v>17578</v>
      </c>
      <c r="AE18" s="2">
        <f t="shared" si="19"/>
        <v>147344</v>
      </c>
      <c r="AF18">
        <f t="shared" si="20"/>
        <v>18552</v>
      </c>
      <c r="AG18">
        <f t="shared" si="21"/>
        <v>128792</v>
      </c>
      <c r="AJ18">
        <f t="shared" si="22"/>
        <v>57.5</v>
      </c>
      <c r="AK18" s="1">
        <f t="shared" si="23"/>
        <v>5.013700073769628E-2</v>
      </c>
      <c r="AL18" s="1">
        <f t="shared" si="24"/>
        <v>5.4458179346671763E-2</v>
      </c>
      <c r="AM18" s="1">
        <f t="shared" si="25"/>
        <v>3.9867773291764566E-2</v>
      </c>
      <c r="AN18" s="1">
        <f t="shared" si="26"/>
        <v>4.1366342839235348E-2</v>
      </c>
      <c r="AO18" s="1">
        <f t="shared" si="27"/>
        <v>5.4576815910129584E-2</v>
      </c>
      <c r="AP18" s="1">
        <f t="shared" si="28"/>
        <v>6.0581538014029407E-2</v>
      </c>
      <c r="AQ18" s="1">
        <f t="shared" si="29"/>
        <v>3.7064876493610843E-2</v>
      </c>
      <c r="AR18" s="1">
        <f t="shared" si="30"/>
        <v>2.4175916142733102E-2</v>
      </c>
      <c r="AS18" s="1">
        <f t="shared" si="31"/>
        <v>7.6618707865610475E-3</v>
      </c>
      <c r="AT18" s="1">
        <f t="shared" si="32"/>
        <v>4.843249141791893E-2</v>
      </c>
      <c r="AU18" s="1">
        <f t="shared" si="33"/>
        <v>5.3266207091930688E-2</v>
      </c>
      <c r="AV18" s="1">
        <f t="shared" si="34"/>
        <v>4.0645906463300643E-2</v>
      </c>
      <c r="AW18" s="1">
        <f t="shared" si="35"/>
        <v>4.2295069344857127E-2</v>
      </c>
      <c r="AX18" s="1">
        <f t="shared" si="36"/>
        <v>4.2937930817430449E-2</v>
      </c>
      <c r="AY18" s="1">
        <f t="shared" si="37"/>
        <v>3.4182931750216958E-2</v>
      </c>
      <c r="AZ18" s="1">
        <f t="shared" si="38"/>
        <v>4.4582739523357375E-2</v>
      </c>
      <c r="BB18" s="1">
        <f t="shared" si="47"/>
        <v>0.89021498577300018</v>
      </c>
      <c r="BC18" s="1">
        <f t="shared" si="48"/>
        <v>0.89788029395522717</v>
      </c>
      <c r="BD18" s="1">
        <f t="shared" si="49"/>
        <v>0.9563463852638473</v>
      </c>
      <c r="BE18" s="1">
        <f t="shared" si="50"/>
        <v>0.94814698747635129</v>
      </c>
      <c r="BF18" s="1">
        <f t="shared" si="51"/>
        <v>0.87942091374150455</v>
      </c>
      <c r="BG18" s="1">
        <f t="shared" si="52"/>
        <v>0.95199719560993623</v>
      </c>
      <c r="BH18" s="1">
        <f t="shared" si="53"/>
        <v>0.85018532438246819</v>
      </c>
      <c r="BI18" s="1">
        <f t="shared" si="54"/>
        <v>0.8982121747863292</v>
      </c>
      <c r="BJ18" s="1">
        <f t="shared" si="55"/>
        <v>0.9919369429607543</v>
      </c>
      <c r="BK18" s="1">
        <f t="shared" si="56"/>
        <v>0.90405347034351069</v>
      </c>
      <c r="BL18" s="1">
        <f t="shared" si="57"/>
        <v>0.94100681492673566</v>
      </c>
      <c r="BM18" s="1">
        <f t="shared" si="58"/>
        <v>0.89660752258498144</v>
      </c>
      <c r="BN18" s="1">
        <f t="shared" si="59"/>
        <v>0.89609580273529621</v>
      </c>
      <c r="BO18" s="1">
        <f t="shared" si="60"/>
        <v>0.94582344229647275</v>
      </c>
      <c r="BQ18">
        <v>57.5</v>
      </c>
      <c r="BR18" s="1">
        <f t="shared" si="40"/>
        <v>4.2937930817430449E-2</v>
      </c>
      <c r="BS18">
        <f t="shared" si="41"/>
        <v>-3.147999675456183</v>
      </c>
      <c r="BT18">
        <f t="shared" si="42"/>
        <v>3306.25</v>
      </c>
      <c r="BU18">
        <f t="shared" si="43"/>
        <v>57.5</v>
      </c>
      <c r="BV18" s="1">
        <f t="shared" si="44"/>
        <v>7.5828754440515507</v>
      </c>
      <c r="BW18" s="1">
        <f t="shared" si="45"/>
        <v>2.3994091692665431E-2</v>
      </c>
      <c r="BX18" s="1">
        <f t="shared" si="46"/>
        <v>2.5128886500986453E-2</v>
      </c>
      <c r="CF18">
        <v>65</v>
      </c>
      <c r="CG18">
        <v>70</v>
      </c>
      <c r="CH18">
        <v>10950.71</v>
      </c>
      <c r="CI18">
        <v>1.34E-2</v>
      </c>
      <c r="CJ18">
        <v>794451.7</v>
      </c>
      <c r="CK18">
        <v>0.97470000000000001</v>
      </c>
      <c r="CN18" s="1">
        <v>1.1145957608759636E-2</v>
      </c>
      <c r="CQ18" t="s">
        <v>1</v>
      </c>
      <c r="CW18">
        <v>70</v>
      </c>
      <c r="CX18">
        <v>75</v>
      </c>
      <c r="CY18">
        <v>6371.3469999999998</v>
      </c>
      <c r="CZ18">
        <v>6.9000000000000008E-3</v>
      </c>
      <c r="DA18">
        <v>912788</v>
      </c>
      <c r="DB18">
        <v>0.99070000000000003</v>
      </c>
      <c r="DD18">
        <v>70</v>
      </c>
      <c r="DE18">
        <v>75</v>
      </c>
      <c r="DF18">
        <v>3145.5590000000002</v>
      </c>
      <c r="DG18">
        <v>1.95E-2</v>
      </c>
      <c r="DH18">
        <v>142847.9</v>
      </c>
      <c r="DI18">
        <v>0.88629999999999998</v>
      </c>
      <c r="DJ18">
        <f t="shared" si="0"/>
        <v>2.0855939413820187E-2</v>
      </c>
      <c r="DK18">
        <f t="shared" si="1"/>
        <v>0.96673211169284479</v>
      </c>
    </row>
    <row r="19" spans="1:115" x14ac:dyDescent="0.2">
      <c r="A19">
        <v>62.5</v>
      </c>
      <c r="B19">
        <v>1576</v>
      </c>
      <c r="C19">
        <v>1056</v>
      </c>
      <c r="D19">
        <v>18209</v>
      </c>
      <c r="E19">
        <v>2898</v>
      </c>
      <c r="F19">
        <v>1738</v>
      </c>
      <c r="G19">
        <v>2232</v>
      </c>
      <c r="H19">
        <v>691</v>
      </c>
      <c r="I19">
        <v>2400</v>
      </c>
      <c r="J19">
        <v>487</v>
      </c>
      <c r="K19">
        <v>5504</v>
      </c>
      <c r="L19">
        <f t="shared" si="2"/>
        <v>6868</v>
      </c>
      <c r="M19">
        <f t="shared" si="3"/>
        <v>8595</v>
      </c>
      <c r="N19">
        <f t="shared" si="4"/>
        <v>11227</v>
      </c>
      <c r="O19">
        <f t="shared" si="5"/>
        <v>43659</v>
      </c>
      <c r="Q19">
        <v>25</v>
      </c>
      <c r="R19" s="2">
        <f t="shared" si="6"/>
        <v>1576</v>
      </c>
      <c r="S19" s="2">
        <f t="shared" si="7"/>
        <v>1056</v>
      </c>
      <c r="T19" s="2">
        <f t="shared" si="8"/>
        <v>18209</v>
      </c>
      <c r="U19" s="2">
        <f t="shared" si="9"/>
        <v>2898</v>
      </c>
      <c r="V19" s="2">
        <f t="shared" si="10"/>
        <v>1738</v>
      </c>
      <c r="W19" s="2">
        <f t="shared" si="11"/>
        <v>2232</v>
      </c>
      <c r="X19" s="2">
        <f t="shared" si="12"/>
        <v>691</v>
      </c>
      <c r="Y19" s="2">
        <f t="shared" si="13"/>
        <v>2400</v>
      </c>
      <c r="Z19" s="2">
        <f t="shared" si="14"/>
        <v>487</v>
      </c>
      <c r="AA19" s="2">
        <f t="shared" si="15"/>
        <v>5504</v>
      </c>
      <c r="AB19" s="2">
        <f t="shared" si="16"/>
        <v>6868</v>
      </c>
      <c r="AC19" s="2">
        <f t="shared" si="17"/>
        <v>8595</v>
      </c>
      <c r="AD19" s="2">
        <f t="shared" si="18"/>
        <v>11227</v>
      </c>
      <c r="AE19" s="2">
        <f t="shared" si="19"/>
        <v>43659</v>
      </c>
      <c r="AF19">
        <f t="shared" si="20"/>
        <v>11714</v>
      </c>
      <c r="AG19">
        <f t="shared" si="21"/>
        <v>31945</v>
      </c>
      <c r="AJ19">
        <f t="shared" si="22"/>
        <v>62.5</v>
      </c>
      <c r="AK19" s="1">
        <f t="shared" si="23"/>
        <v>4.1521762040257142E-2</v>
      </c>
      <c r="AL19" s="1">
        <f t="shared" si="24"/>
        <v>4.4857907480565819E-2</v>
      </c>
      <c r="AM19" s="1">
        <f t="shared" si="25"/>
        <v>9.7257882140047297E-3</v>
      </c>
      <c r="AN19" s="1">
        <f t="shared" si="26"/>
        <v>1.6818134336153766E-2</v>
      </c>
      <c r="AO19" s="1">
        <f t="shared" si="27"/>
        <v>2.5622502985360677E-2</v>
      </c>
      <c r="AP19" s="1">
        <f t="shared" si="28"/>
        <v>8.3236683808749542E-3</v>
      </c>
      <c r="AQ19" s="1">
        <f t="shared" si="29"/>
        <v>1.7910370389569996E-2</v>
      </c>
      <c r="AR19" s="1">
        <f t="shared" si="30"/>
        <v>2.5106966136979422E-2</v>
      </c>
      <c r="AS19" s="1">
        <f t="shared" si="31"/>
        <v>3.8309353932805238E-3</v>
      </c>
      <c r="AT19" s="1">
        <f t="shared" si="32"/>
        <v>2.5025575738286312E-2</v>
      </c>
      <c r="AU19" s="1">
        <f t="shared" si="33"/>
        <v>1.3511812015046351E-2</v>
      </c>
      <c r="AV19" s="1">
        <f t="shared" si="34"/>
        <v>2.4272324466898424E-2</v>
      </c>
      <c r="AW19" s="1">
        <f t="shared" si="35"/>
        <v>2.7013695729588744E-2</v>
      </c>
      <c r="AX19" s="1">
        <f t="shared" si="36"/>
        <v>1.2722792387597704E-2</v>
      </c>
      <c r="AY19" s="1">
        <f t="shared" si="37"/>
        <v>2.1583595435642599E-2</v>
      </c>
      <c r="AZ19" s="1">
        <f t="shared" si="38"/>
        <v>1.105810620282045E-2</v>
      </c>
      <c r="BB19" s="1">
        <f t="shared" si="47"/>
        <v>0.93173674781325733</v>
      </c>
      <c r="BC19" s="1">
        <f t="shared" si="48"/>
        <v>0.94273820143579301</v>
      </c>
      <c r="BD19" s="1">
        <f t="shared" si="49"/>
        <v>0.96607217347785201</v>
      </c>
      <c r="BE19" s="1">
        <f t="shared" si="50"/>
        <v>0.96496512181250504</v>
      </c>
      <c r="BF19" s="1">
        <f t="shared" si="51"/>
        <v>0.90504341672686528</v>
      </c>
      <c r="BG19" s="1">
        <f t="shared" si="52"/>
        <v>0.96032086399081118</v>
      </c>
      <c r="BH19" s="1">
        <f t="shared" si="53"/>
        <v>0.86809569477203818</v>
      </c>
      <c r="BI19" s="1">
        <f t="shared" si="54"/>
        <v>0.92331914092330858</v>
      </c>
      <c r="BJ19" s="1">
        <f t="shared" si="55"/>
        <v>0.9957678783540348</v>
      </c>
      <c r="BK19" s="1">
        <f t="shared" si="56"/>
        <v>0.92907904608179703</v>
      </c>
      <c r="BL19" s="1">
        <f t="shared" si="57"/>
        <v>0.95451862694178202</v>
      </c>
      <c r="BM19" s="1">
        <f t="shared" si="58"/>
        <v>0.92087984705187986</v>
      </c>
      <c r="BN19" s="1">
        <f t="shared" si="59"/>
        <v>0.92310949846488499</v>
      </c>
      <c r="BO19" s="1">
        <f t="shared" si="60"/>
        <v>0.95854623468407041</v>
      </c>
      <c r="BQ19">
        <v>62.5</v>
      </c>
      <c r="BR19" s="1">
        <f t="shared" si="40"/>
        <v>1.2722792387597704E-2</v>
      </c>
      <c r="BS19">
        <f t="shared" si="41"/>
        <v>-4.3643602178358956</v>
      </c>
      <c r="BT19">
        <f t="shared" si="42"/>
        <v>3906.25</v>
      </c>
      <c r="BU19">
        <f t="shared" si="43"/>
        <v>62.5</v>
      </c>
      <c r="BV19" s="1">
        <f t="shared" si="44"/>
        <v>7.9056941504209481</v>
      </c>
      <c r="BW19" s="1">
        <f t="shared" si="45"/>
        <v>1.8239547685397161E-2</v>
      </c>
      <c r="BX19" s="1">
        <f t="shared" si="46"/>
        <v>1.9102182715913425E-2</v>
      </c>
      <c r="CF19">
        <v>70</v>
      </c>
      <c r="CG19">
        <v>75</v>
      </c>
      <c r="CH19">
        <v>7829.482</v>
      </c>
      <c r="CI19">
        <v>9.6000000000000009E-3</v>
      </c>
      <c r="CJ19">
        <v>802281.2</v>
      </c>
      <c r="CK19">
        <v>0.98429999999999995</v>
      </c>
      <c r="CN19" s="1">
        <v>1.3247044054041925E-2</v>
      </c>
      <c r="CP19" t="s">
        <v>2</v>
      </c>
      <c r="CS19">
        <v>4.4854289751444423E-3</v>
      </c>
      <c r="CW19">
        <v>75</v>
      </c>
      <c r="CX19">
        <v>80</v>
      </c>
      <c r="CY19">
        <v>4476.5330000000004</v>
      </c>
      <c r="CZ19">
        <v>4.8999999999999998E-3</v>
      </c>
      <c r="DA19">
        <v>917264.5</v>
      </c>
      <c r="DB19">
        <v>0.99550000000000005</v>
      </c>
      <c r="DD19">
        <v>75</v>
      </c>
      <c r="DE19">
        <v>80</v>
      </c>
      <c r="DF19">
        <v>2667.3290000000002</v>
      </c>
      <c r="DG19">
        <v>1.6500000000000001E-2</v>
      </c>
      <c r="DH19">
        <v>145515.29999999999</v>
      </c>
      <c r="DI19">
        <v>0.90280000000000005</v>
      </c>
      <c r="DJ19">
        <f t="shared" si="0"/>
        <v>1.7685140231267504E-2</v>
      </c>
      <c r="DK19">
        <f t="shared" si="1"/>
        <v>0.98472949389179776</v>
      </c>
    </row>
    <row r="20" spans="1:115" x14ac:dyDescent="0.2">
      <c r="A20">
        <v>67.5</v>
      </c>
      <c r="B20">
        <v>818</v>
      </c>
      <c r="C20">
        <v>649</v>
      </c>
      <c r="D20">
        <v>16810</v>
      </c>
      <c r="E20">
        <v>1609</v>
      </c>
      <c r="F20">
        <v>1697</v>
      </c>
      <c r="G20">
        <v>2610</v>
      </c>
      <c r="H20">
        <v>1733</v>
      </c>
      <c r="I20">
        <v>2098</v>
      </c>
      <c r="J20">
        <v>133</v>
      </c>
      <c r="K20">
        <v>4175</v>
      </c>
      <c r="L20">
        <f t="shared" si="2"/>
        <v>5916</v>
      </c>
      <c r="M20">
        <f t="shared" si="3"/>
        <v>8006</v>
      </c>
      <c r="N20">
        <f t="shared" si="4"/>
        <v>9473</v>
      </c>
      <c r="O20">
        <f t="shared" si="5"/>
        <v>38248</v>
      </c>
      <c r="Q20">
        <v>27</v>
      </c>
      <c r="R20" s="2">
        <f t="shared" si="6"/>
        <v>818</v>
      </c>
      <c r="S20" s="2">
        <f t="shared" si="7"/>
        <v>649</v>
      </c>
      <c r="T20" s="2">
        <f t="shared" si="8"/>
        <v>16810</v>
      </c>
      <c r="U20" s="2">
        <f t="shared" si="9"/>
        <v>1609</v>
      </c>
      <c r="V20" s="2">
        <f t="shared" si="10"/>
        <v>1697</v>
      </c>
      <c r="W20" s="2">
        <f t="shared" si="11"/>
        <v>2610</v>
      </c>
      <c r="X20" s="2">
        <f t="shared" si="12"/>
        <v>1733</v>
      </c>
      <c r="Y20" s="2">
        <f t="shared" si="13"/>
        <v>2098</v>
      </c>
      <c r="Z20" s="2">
        <f t="shared" si="14"/>
        <v>133</v>
      </c>
      <c r="AA20" s="2">
        <f t="shared" si="15"/>
        <v>4175</v>
      </c>
      <c r="AB20" s="2">
        <f t="shared" si="16"/>
        <v>5916</v>
      </c>
      <c r="AC20" s="2">
        <f t="shared" si="17"/>
        <v>8006</v>
      </c>
      <c r="AD20" s="2">
        <f t="shared" si="18"/>
        <v>9473</v>
      </c>
      <c r="AE20" s="2">
        <f t="shared" si="19"/>
        <v>38248</v>
      </c>
      <c r="AF20">
        <f t="shared" si="20"/>
        <v>9606</v>
      </c>
      <c r="AG20">
        <f t="shared" si="21"/>
        <v>28642</v>
      </c>
      <c r="AJ20">
        <f t="shared" si="22"/>
        <v>67.5</v>
      </c>
      <c r="AK20" s="1">
        <f t="shared" si="23"/>
        <v>2.1551269891453263E-2</v>
      </c>
      <c r="AL20" s="1">
        <f t="shared" si="24"/>
        <v>2.7568922305764409E-2</v>
      </c>
      <c r="AM20" s="1">
        <f t="shared" si="25"/>
        <v>8.9785545541995436E-3</v>
      </c>
      <c r="AN20" s="1">
        <f t="shared" si="26"/>
        <v>9.3376046055456893E-3</v>
      </c>
      <c r="AO20" s="1">
        <f t="shared" si="27"/>
        <v>2.5018059589273341E-2</v>
      </c>
      <c r="AP20" s="1">
        <f t="shared" si="28"/>
        <v>9.7333218969908753E-3</v>
      </c>
      <c r="AQ20" s="1">
        <f t="shared" si="29"/>
        <v>4.4918483191208107E-2</v>
      </c>
      <c r="AR20" s="1">
        <f t="shared" si="30"/>
        <v>2.1947672898076177E-2</v>
      </c>
      <c r="AS20" s="1">
        <f t="shared" si="31"/>
        <v>1.0462308158240444E-3</v>
      </c>
      <c r="AT20" s="1">
        <f t="shared" si="32"/>
        <v>1.8982881305840364E-2</v>
      </c>
      <c r="AU20" s="1">
        <f t="shared" si="33"/>
        <v>1.1638887577317153E-2</v>
      </c>
      <c r="AV20" s="1">
        <f t="shared" si="34"/>
        <v>2.260898541966129E-2</v>
      </c>
      <c r="AW20" s="1">
        <f t="shared" si="35"/>
        <v>2.2793332114224116E-2</v>
      </c>
      <c r="AX20" s="1">
        <f t="shared" si="36"/>
        <v>1.1145957608759636E-2</v>
      </c>
      <c r="AY20" s="1">
        <f t="shared" si="37"/>
        <v>1.7699506381661498E-2</v>
      </c>
      <c r="AZ20" s="1">
        <f t="shared" si="38"/>
        <v>9.9147371376172577E-3</v>
      </c>
      <c r="BB20" s="1">
        <f t="shared" si="47"/>
        <v>0.95328801770471061</v>
      </c>
      <c r="BC20" s="1">
        <f t="shared" si="48"/>
        <v>0.97030712374155748</v>
      </c>
      <c r="BD20" s="1">
        <f t="shared" si="49"/>
        <v>0.97505072803205151</v>
      </c>
      <c r="BE20" s="1">
        <f t="shared" si="50"/>
        <v>0.97430272641805071</v>
      </c>
      <c r="BF20" s="1">
        <f t="shared" si="51"/>
        <v>0.93006147631613867</v>
      </c>
      <c r="BG20" s="1">
        <f t="shared" si="52"/>
        <v>0.97005418588780201</v>
      </c>
      <c r="BH20" s="1">
        <f t="shared" si="53"/>
        <v>0.91301417796324624</v>
      </c>
      <c r="BI20" s="1">
        <f t="shared" si="54"/>
        <v>0.94526681382138478</v>
      </c>
      <c r="BJ20" s="1">
        <f t="shared" si="55"/>
        <v>0.9968141091698588</v>
      </c>
      <c r="BK20" s="1">
        <f t="shared" si="56"/>
        <v>0.94806192738763739</v>
      </c>
      <c r="BL20" s="1">
        <f t="shared" si="57"/>
        <v>0.96615751451909915</v>
      </c>
      <c r="BM20" s="1">
        <f t="shared" si="58"/>
        <v>0.94348883247154114</v>
      </c>
      <c r="BN20" s="1">
        <f t="shared" si="59"/>
        <v>0.94590283057910907</v>
      </c>
      <c r="BO20" s="1">
        <f t="shared" si="60"/>
        <v>0.96969219229282999</v>
      </c>
      <c r="BQ20">
        <v>67.5</v>
      </c>
      <c r="BR20" s="1">
        <f t="shared" si="40"/>
        <v>1.1145957608759636E-2</v>
      </c>
      <c r="BS20">
        <f t="shared" si="41"/>
        <v>-4.4966783931113916</v>
      </c>
      <c r="BT20">
        <f t="shared" si="42"/>
        <v>4556.25</v>
      </c>
      <c r="BU20">
        <f t="shared" si="43"/>
        <v>67.5</v>
      </c>
      <c r="BV20" s="1">
        <f t="shared" si="44"/>
        <v>8.2158383625774913</v>
      </c>
      <c r="BW20" s="1">
        <f t="shared" si="45"/>
        <v>1.3730371049018447E-2</v>
      </c>
      <c r="BX20" s="1">
        <f t="shared" si="46"/>
        <v>1.437974565266349E-2</v>
      </c>
      <c r="CF20">
        <v>75</v>
      </c>
      <c r="CG20">
        <v>80</v>
      </c>
      <c r="CH20">
        <v>4729.7330000000002</v>
      </c>
      <c r="CI20">
        <v>5.8000000000000005E-3</v>
      </c>
      <c r="CJ20">
        <v>807011</v>
      </c>
      <c r="CK20">
        <v>0.99009999999999998</v>
      </c>
      <c r="CN20" s="1">
        <v>4.300379011516052E-3</v>
      </c>
      <c r="CP20" t="s">
        <v>5</v>
      </c>
      <c r="CS20">
        <v>2.1239735132763272E-2</v>
      </c>
      <c r="CW20">
        <v>80</v>
      </c>
      <c r="CX20">
        <v>85</v>
      </c>
      <c r="CY20">
        <v>2878.7550000000001</v>
      </c>
      <c r="CZ20">
        <v>3.1000000000000003E-3</v>
      </c>
      <c r="DA20">
        <v>920143.3</v>
      </c>
      <c r="DB20">
        <v>0.99870000000000003</v>
      </c>
      <c r="DD20">
        <v>80</v>
      </c>
      <c r="DE20">
        <v>85</v>
      </c>
      <c r="DF20">
        <v>2271.8310000000001</v>
      </c>
      <c r="DG20">
        <v>1.4100000000000001E-2</v>
      </c>
      <c r="DH20">
        <v>147787.1</v>
      </c>
      <c r="DI20">
        <v>0.91690000000000005</v>
      </c>
      <c r="DJ20">
        <f t="shared" si="0"/>
        <v>1.5062877439093823E-2</v>
      </c>
      <c r="DK20">
        <f t="shared" si="1"/>
        <v>1.0001090750436303</v>
      </c>
    </row>
    <row r="21" spans="1:115" x14ac:dyDescent="0.2">
      <c r="A21">
        <v>72.5</v>
      </c>
      <c r="B21">
        <v>267</v>
      </c>
      <c r="C21">
        <v>536</v>
      </c>
      <c r="D21">
        <v>24320</v>
      </c>
      <c r="E21">
        <v>1596</v>
      </c>
      <c r="F21">
        <v>2242</v>
      </c>
      <c r="G21">
        <v>2805</v>
      </c>
      <c r="H21">
        <v>0</v>
      </c>
      <c r="I21">
        <v>1624</v>
      </c>
      <c r="J21">
        <v>405</v>
      </c>
      <c r="K21">
        <v>5020</v>
      </c>
      <c r="L21">
        <f t="shared" si="2"/>
        <v>6643</v>
      </c>
      <c r="M21">
        <f t="shared" si="3"/>
        <v>6644</v>
      </c>
      <c r="N21">
        <f t="shared" si="4"/>
        <v>7447</v>
      </c>
      <c r="O21">
        <f t="shared" si="5"/>
        <v>45458</v>
      </c>
      <c r="Q21">
        <v>29</v>
      </c>
      <c r="R21" s="2">
        <f t="shared" si="6"/>
        <v>267</v>
      </c>
      <c r="S21" s="2">
        <f t="shared" si="7"/>
        <v>536</v>
      </c>
      <c r="T21" s="2">
        <f t="shared" si="8"/>
        <v>24320</v>
      </c>
      <c r="U21" s="2">
        <f t="shared" si="9"/>
        <v>1596</v>
      </c>
      <c r="V21" s="2">
        <f t="shared" si="10"/>
        <v>2242</v>
      </c>
      <c r="W21" s="2">
        <f t="shared" si="11"/>
        <v>2805</v>
      </c>
      <c r="X21" s="2">
        <f t="shared" si="12"/>
        <v>0</v>
      </c>
      <c r="Y21" s="2">
        <f t="shared" si="13"/>
        <v>1624</v>
      </c>
      <c r="Z21" s="2">
        <f t="shared" si="14"/>
        <v>405</v>
      </c>
      <c r="AA21" s="2">
        <f t="shared" si="15"/>
        <v>5020</v>
      </c>
      <c r="AB21" s="2">
        <f t="shared" si="16"/>
        <v>6643</v>
      </c>
      <c r="AC21" s="2">
        <f t="shared" si="17"/>
        <v>6644</v>
      </c>
      <c r="AD21" s="2">
        <f t="shared" si="18"/>
        <v>7447</v>
      </c>
      <c r="AE21" s="2">
        <f t="shared" si="19"/>
        <v>45458</v>
      </c>
      <c r="AF21">
        <f t="shared" si="20"/>
        <v>7852</v>
      </c>
      <c r="AG21">
        <f t="shared" si="21"/>
        <v>37606</v>
      </c>
      <c r="AJ21">
        <f t="shared" si="22"/>
        <v>72.5</v>
      </c>
      <c r="AK21" s="1">
        <f t="shared" si="23"/>
        <v>7.0344609547897561E-3</v>
      </c>
      <c r="AL21" s="1">
        <f t="shared" si="24"/>
        <v>2.2768786372711441E-2</v>
      </c>
      <c r="AM21" s="1">
        <f t="shared" si="25"/>
        <v>1.2989794572167335E-2</v>
      </c>
      <c r="AN21" s="1">
        <f t="shared" si="26"/>
        <v>9.2621609387513494E-3</v>
      </c>
      <c r="AO21" s="1">
        <f t="shared" si="27"/>
        <v>3.3052734000678159E-2</v>
      </c>
      <c r="AP21" s="1">
        <f t="shared" si="28"/>
        <v>1.0460524107685595E-2</v>
      </c>
      <c r="AQ21" s="1">
        <f t="shared" si="29"/>
        <v>0</v>
      </c>
      <c r="AR21" s="1">
        <f t="shared" si="30"/>
        <v>1.6989047086022741E-2</v>
      </c>
      <c r="AS21" s="1">
        <f t="shared" si="31"/>
        <v>3.1858908301408873E-3</v>
      </c>
      <c r="AT21" s="1">
        <f t="shared" si="32"/>
        <v>2.2824925546184101E-2</v>
      </c>
      <c r="AU21" s="1">
        <f t="shared" si="33"/>
        <v>1.306915655444859E-2</v>
      </c>
      <c r="AV21" s="1">
        <f t="shared" si="34"/>
        <v>1.8762690373248764E-2</v>
      </c>
      <c r="AW21" s="1">
        <f t="shared" si="35"/>
        <v>1.7918499340718569E-2</v>
      </c>
      <c r="AX21" s="1">
        <f t="shared" si="36"/>
        <v>1.3247044054041925E-2</v>
      </c>
      <c r="AY21" s="1">
        <f t="shared" si="37"/>
        <v>1.4467678961982727E-2</v>
      </c>
      <c r="AZ21" s="1">
        <f t="shared" si="38"/>
        <v>1.3017722393591041E-2</v>
      </c>
      <c r="BB21" s="1">
        <f t="shared" si="47"/>
        <v>0.96032247865950038</v>
      </c>
      <c r="BC21" s="1">
        <f t="shared" si="48"/>
        <v>0.99307591011426888</v>
      </c>
      <c r="BD21" s="1">
        <f t="shared" si="49"/>
        <v>0.98804052260421882</v>
      </c>
      <c r="BE21" s="1">
        <f t="shared" si="50"/>
        <v>0.98356488735680203</v>
      </c>
      <c r="BF21" s="1">
        <f t="shared" si="51"/>
        <v>0.96311421031681688</v>
      </c>
      <c r="BG21" s="1">
        <f t="shared" si="52"/>
        <v>0.98051470999548762</v>
      </c>
      <c r="BH21" s="1">
        <f t="shared" si="53"/>
        <v>0.91301417796324624</v>
      </c>
      <c r="BI21" s="1">
        <f t="shared" si="54"/>
        <v>0.96225586090740756</v>
      </c>
      <c r="BJ21" s="1">
        <f t="shared" si="55"/>
        <v>0.99999999999999967</v>
      </c>
      <c r="BK21" s="1">
        <f t="shared" si="56"/>
        <v>0.97088685293382149</v>
      </c>
      <c r="BL21" s="1">
        <f t="shared" si="57"/>
        <v>0.97922667107354777</v>
      </c>
      <c r="BM21" s="1">
        <f t="shared" si="58"/>
        <v>0.96225152284478987</v>
      </c>
      <c r="BN21" s="1">
        <f t="shared" si="59"/>
        <v>0.96382132991982761</v>
      </c>
      <c r="BO21" s="1">
        <f t="shared" si="60"/>
        <v>0.98293923634687197</v>
      </c>
      <c r="BQ21">
        <v>72.5</v>
      </c>
      <c r="BR21" s="1">
        <f t="shared" si="40"/>
        <v>1.3247044054041925E-2</v>
      </c>
      <c r="BS21">
        <f t="shared" si="41"/>
        <v>-4.3239808416992265</v>
      </c>
      <c r="BT21">
        <f t="shared" si="42"/>
        <v>5256.25</v>
      </c>
      <c r="BU21">
        <f t="shared" si="43"/>
        <v>72.5</v>
      </c>
      <c r="BV21" s="1">
        <f t="shared" si="44"/>
        <v>8.5146931829632013</v>
      </c>
      <c r="BW21" s="1">
        <f t="shared" si="45"/>
        <v>1.0246427453477907E-2</v>
      </c>
      <c r="BX21" s="1">
        <f t="shared" si="46"/>
        <v>1.0731029780874993E-2</v>
      </c>
      <c r="CF21">
        <v>80</v>
      </c>
      <c r="CG21">
        <v>85</v>
      </c>
      <c r="CH21">
        <v>2979.0439999999999</v>
      </c>
      <c r="CI21">
        <v>3.7000000000000002E-3</v>
      </c>
      <c r="CJ21">
        <v>809990</v>
      </c>
      <c r="CK21">
        <v>0.99380000000000002</v>
      </c>
      <c r="CN21" s="1">
        <v>3.8912354096885438E-3</v>
      </c>
      <c r="CP21" t="s">
        <v>8</v>
      </c>
      <c r="CS21">
        <v>0.81894795574537937</v>
      </c>
      <c r="CW21">
        <v>85</v>
      </c>
      <c r="CX21">
        <v>90</v>
      </c>
      <c r="CY21">
        <v>1049.249</v>
      </c>
      <c r="CZ21">
        <v>1.1000000000000001E-3</v>
      </c>
      <c r="DA21">
        <v>921192.5</v>
      </c>
      <c r="DB21">
        <v>0.99980000000000002</v>
      </c>
      <c r="DD21">
        <v>85</v>
      </c>
      <c r="DE21">
        <v>90</v>
      </c>
      <c r="DF21">
        <v>1657.146</v>
      </c>
      <c r="DG21">
        <v>1.03E-2</v>
      </c>
      <c r="DH21">
        <v>149444.20000000001</v>
      </c>
      <c r="DI21">
        <v>0.92720000000000002</v>
      </c>
      <c r="DJ21">
        <f t="shared" si="0"/>
        <v>1.0987343291241545E-2</v>
      </c>
    </row>
    <row r="22" spans="1:115" x14ac:dyDescent="0.2">
      <c r="A22">
        <v>77.5</v>
      </c>
      <c r="B22">
        <v>674</v>
      </c>
      <c r="C22">
        <v>163</v>
      </c>
      <c r="D22">
        <v>6635</v>
      </c>
      <c r="E22">
        <v>376</v>
      </c>
      <c r="F22">
        <v>190</v>
      </c>
      <c r="G22">
        <v>796</v>
      </c>
      <c r="H22">
        <v>1945</v>
      </c>
      <c r="I22">
        <v>474</v>
      </c>
      <c r="K22">
        <v>2142</v>
      </c>
      <c r="L22">
        <f t="shared" si="2"/>
        <v>1362</v>
      </c>
      <c r="M22">
        <f t="shared" si="3"/>
        <v>4561</v>
      </c>
      <c r="N22">
        <f t="shared" si="4"/>
        <v>5398</v>
      </c>
      <c r="O22">
        <f t="shared" si="5"/>
        <v>14757</v>
      </c>
      <c r="Q22">
        <v>31</v>
      </c>
      <c r="R22" s="2">
        <f t="shared" si="6"/>
        <v>674</v>
      </c>
      <c r="S22" s="2">
        <f t="shared" si="7"/>
        <v>163</v>
      </c>
      <c r="T22" s="2">
        <f t="shared" si="8"/>
        <v>6635</v>
      </c>
      <c r="U22" s="2">
        <f t="shared" si="9"/>
        <v>376</v>
      </c>
      <c r="V22" s="2">
        <f t="shared" si="10"/>
        <v>190</v>
      </c>
      <c r="W22" s="2">
        <f t="shared" si="11"/>
        <v>796</v>
      </c>
      <c r="X22" s="2">
        <f t="shared" si="12"/>
        <v>1945</v>
      </c>
      <c r="Y22" s="2">
        <f t="shared" si="13"/>
        <v>474</v>
      </c>
      <c r="Z22" s="2">
        <f t="shared" si="14"/>
        <v>0</v>
      </c>
      <c r="AA22" s="2">
        <f t="shared" si="15"/>
        <v>2142</v>
      </c>
      <c r="AB22" s="2">
        <f t="shared" si="16"/>
        <v>1362</v>
      </c>
      <c r="AC22" s="2">
        <f t="shared" si="17"/>
        <v>4561</v>
      </c>
      <c r="AD22" s="2">
        <f t="shared" si="18"/>
        <v>5398</v>
      </c>
      <c r="AE22" s="2">
        <f t="shared" si="19"/>
        <v>14757</v>
      </c>
      <c r="AF22">
        <f t="shared" si="20"/>
        <v>5398</v>
      </c>
      <c r="AG22">
        <f t="shared" si="21"/>
        <v>9359</v>
      </c>
      <c r="AJ22">
        <f t="shared" si="22"/>
        <v>77.5</v>
      </c>
      <c r="AK22" s="1">
        <f t="shared" si="23"/>
        <v>1.7757403309094741E-2</v>
      </c>
      <c r="AL22" s="1">
        <f t="shared" si="24"/>
        <v>6.924089885731277E-3</v>
      </c>
      <c r="AM22" s="1">
        <f t="shared" si="25"/>
        <v>3.5438851556879223E-3</v>
      </c>
      <c r="AN22" s="1">
        <f t="shared" si="26"/>
        <v>2.1820629780516963E-3</v>
      </c>
      <c r="AO22" s="1">
        <f t="shared" si="27"/>
        <v>2.8010791525998439E-3</v>
      </c>
      <c r="AP22" s="1">
        <f t="shared" si="28"/>
        <v>2.9684767164769102E-3</v>
      </c>
      <c r="AQ22" s="1">
        <f t="shared" si="29"/>
        <v>5.0413415930121046E-2</v>
      </c>
      <c r="AR22" s="1">
        <f t="shared" si="30"/>
        <v>4.9586258120534361E-3</v>
      </c>
      <c r="AS22" s="1">
        <f t="shared" si="31"/>
        <v>0</v>
      </c>
      <c r="AT22" s="1">
        <f t="shared" si="32"/>
        <v>9.739241139427559E-3</v>
      </c>
      <c r="AU22" s="1">
        <f t="shared" si="33"/>
        <v>2.6795410548184524E-3</v>
      </c>
      <c r="AV22" s="1">
        <f t="shared" si="34"/>
        <v>1.2880287596686878E-2</v>
      </c>
      <c r="AW22" s="1">
        <f t="shared" si="35"/>
        <v>1.298832542516434E-2</v>
      </c>
      <c r="AX22" s="1">
        <f t="shared" si="36"/>
        <v>4.300379011516052E-3</v>
      </c>
      <c r="AY22" s="1">
        <f t="shared" si="37"/>
        <v>9.9460686496157368E-3</v>
      </c>
      <c r="AZ22" s="1">
        <f t="shared" si="38"/>
        <v>3.2397187651337167E-3</v>
      </c>
      <c r="BB22" s="1">
        <f t="shared" si="47"/>
        <v>0.97807988196859508</v>
      </c>
      <c r="BC22" s="1">
        <f t="shared" si="48"/>
        <v>1.0000000000000002</v>
      </c>
      <c r="BD22" s="1">
        <f t="shared" si="49"/>
        <v>0.99158440775990675</v>
      </c>
      <c r="BE22" s="1">
        <f t="shared" si="50"/>
        <v>0.98574695033485371</v>
      </c>
      <c r="BF22" s="1">
        <f t="shared" si="51"/>
        <v>0.96591528946941674</v>
      </c>
      <c r="BG22" s="1">
        <f t="shared" si="52"/>
        <v>0.98348318671196455</v>
      </c>
      <c r="BH22" s="1">
        <f t="shared" si="53"/>
        <v>0.9634275938933673</v>
      </c>
      <c r="BI22" s="1">
        <f t="shared" si="54"/>
        <v>0.96721448671946098</v>
      </c>
      <c r="BJ22" s="1">
        <f t="shared" si="55"/>
        <v>0.99999999999999967</v>
      </c>
      <c r="BK22" s="1">
        <f t="shared" si="56"/>
        <v>0.98062609407324908</v>
      </c>
      <c r="BL22" s="1">
        <f t="shared" si="57"/>
        <v>0.98190621212836626</v>
      </c>
      <c r="BM22" s="1">
        <f t="shared" si="58"/>
        <v>0.97513181044147679</v>
      </c>
      <c r="BN22" s="1">
        <f t="shared" si="59"/>
        <v>0.97680965534499198</v>
      </c>
      <c r="BO22" s="1">
        <f t="shared" si="60"/>
        <v>0.987239615358388</v>
      </c>
      <c r="BQ22">
        <v>77.5</v>
      </c>
      <c r="BR22" s="1">
        <f t="shared" si="40"/>
        <v>4.300379011516052E-3</v>
      </c>
      <c r="BS22">
        <f t="shared" si="41"/>
        <v>-5.4490521179538813</v>
      </c>
      <c r="BT22">
        <f t="shared" si="42"/>
        <v>6006.25</v>
      </c>
      <c r="BU22">
        <f t="shared" si="43"/>
        <v>77.5</v>
      </c>
      <c r="BV22" s="1">
        <f t="shared" si="44"/>
        <v>8.8034084308295046</v>
      </c>
      <c r="BW22" s="1">
        <f t="shared" si="45"/>
        <v>7.5869887566412846E-3</v>
      </c>
      <c r="BX22" s="1">
        <f t="shared" si="46"/>
        <v>7.9458135691036925E-3</v>
      </c>
      <c r="CF22">
        <v>85</v>
      </c>
      <c r="CG22">
        <v>90</v>
      </c>
      <c r="CH22">
        <v>2879.2429999999999</v>
      </c>
      <c r="CI22">
        <v>3.5000000000000001E-3</v>
      </c>
      <c r="CJ22">
        <v>812869.3</v>
      </c>
      <c r="CK22">
        <v>0.99729999999999996</v>
      </c>
      <c r="CN22" s="1">
        <v>8.8691492319232252E-3</v>
      </c>
      <c r="CP22" t="s">
        <v>16</v>
      </c>
      <c r="CS22">
        <v>18</v>
      </c>
      <c r="CW22">
        <v>90</v>
      </c>
      <c r="CX22">
        <v>95</v>
      </c>
      <c r="CY22">
        <v>175.82550000000001</v>
      </c>
      <c r="CZ22">
        <v>2.0000000000000001E-4</v>
      </c>
      <c r="DA22">
        <v>921368.3</v>
      </c>
      <c r="DB22">
        <v>1</v>
      </c>
      <c r="DD22">
        <v>90</v>
      </c>
      <c r="DE22">
        <v>95</v>
      </c>
      <c r="DF22">
        <v>1378.9580000000001</v>
      </c>
      <c r="DG22">
        <v>8.6E-3</v>
      </c>
      <c r="DH22">
        <v>150823.20000000001</v>
      </c>
      <c r="DI22">
        <v>0.93569999999999998</v>
      </c>
      <c r="DJ22">
        <f t="shared" si="0"/>
        <v>9.1428787386288596E-3</v>
      </c>
    </row>
    <row r="23" spans="1:115" x14ac:dyDescent="0.2">
      <c r="A23">
        <v>82.5</v>
      </c>
      <c r="B23">
        <v>756</v>
      </c>
      <c r="D23">
        <v>2573</v>
      </c>
      <c r="E23">
        <v>693</v>
      </c>
      <c r="F23">
        <v>437</v>
      </c>
      <c r="G23">
        <v>942</v>
      </c>
      <c r="H23">
        <v>1411</v>
      </c>
      <c r="I23">
        <v>2413</v>
      </c>
      <c r="K23">
        <v>2056</v>
      </c>
      <c r="L23">
        <f t="shared" si="2"/>
        <v>2072</v>
      </c>
      <c r="M23">
        <f t="shared" si="3"/>
        <v>5880</v>
      </c>
      <c r="N23">
        <f t="shared" si="4"/>
        <v>6636</v>
      </c>
      <c r="O23">
        <f t="shared" si="5"/>
        <v>13353</v>
      </c>
      <c r="Q23">
        <v>33</v>
      </c>
      <c r="R23" s="2">
        <f t="shared" si="6"/>
        <v>756</v>
      </c>
      <c r="S23" s="2">
        <f t="shared" si="7"/>
        <v>0</v>
      </c>
      <c r="T23" s="2">
        <f t="shared" si="8"/>
        <v>2573</v>
      </c>
      <c r="U23" s="2">
        <f t="shared" si="9"/>
        <v>693</v>
      </c>
      <c r="V23" s="2">
        <f t="shared" si="10"/>
        <v>437</v>
      </c>
      <c r="W23" s="2">
        <f t="shared" si="11"/>
        <v>942</v>
      </c>
      <c r="X23" s="2">
        <f t="shared" si="12"/>
        <v>1411</v>
      </c>
      <c r="Y23" s="2">
        <f t="shared" si="13"/>
        <v>2413</v>
      </c>
      <c r="Z23" s="2">
        <f t="shared" si="14"/>
        <v>0</v>
      </c>
      <c r="AA23" s="2">
        <f t="shared" si="15"/>
        <v>2056</v>
      </c>
      <c r="AB23" s="2">
        <f t="shared" si="16"/>
        <v>2072</v>
      </c>
      <c r="AC23" s="2">
        <f t="shared" si="17"/>
        <v>5880</v>
      </c>
      <c r="AD23" s="2">
        <f t="shared" si="18"/>
        <v>6636</v>
      </c>
      <c r="AE23" s="2">
        <f t="shared" si="19"/>
        <v>13353</v>
      </c>
      <c r="AF23">
        <f t="shared" si="20"/>
        <v>6636</v>
      </c>
      <c r="AG23">
        <f t="shared" si="21"/>
        <v>6717</v>
      </c>
      <c r="AJ23">
        <f t="shared" si="22"/>
        <v>82.5</v>
      </c>
      <c r="AK23" s="1">
        <f t="shared" si="23"/>
        <v>1.9917799557382231E-2</v>
      </c>
      <c r="AL23" s="1">
        <f t="shared" si="24"/>
        <v>0</v>
      </c>
      <c r="AM23" s="1">
        <f t="shared" si="25"/>
        <v>1.3742903550241182E-3</v>
      </c>
      <c r="AN23" s="1">
        <f t="shared" si="26"/>
        <v>4.0217277760367697E-3</v>
      </c>
      <c r="AO23" s="1">
        <f t="shared" si="27"/>
        <v>6.4424820509796409E-3</v>
      </c>
      <c r="AP23" s="1">
        <f t="shared" si="28"/>
        <v>3.5129460639714192E-3</v>
      </c>
      <c r="AQ23" s="1">
        <f t="shared" si="29"/>
        <v>3.6572406106632802E-2</v>
      </c>
      <c r="AR23" s="1">
        <f t="shared" si="30"/>
        <v>2.5242962203554729E-2</v>
      </c>
      <c r="AS23" s="1">
        <f t="shared" si="31"/>
        <v>0</v>
      </c>
      <c r="AT23" s="1">
        <f t="shared" si="32"/>
        <v>9.3482165185168348E-3</v>
      </c>
      <c r="AU23" s="1">
        <f t="shared" si="33"/>
        <v>4.0763649527047231E-3</v>
      </c>
      <c r="AV23" s="1">
        <f t="shared" si="34"/>
        <v>1.6605150420635571E-2</v>
      </c>
      <c r="AW23" s="1">
        <f t="shared" si="35"/>
        <v>1.5967122549349861E-2</v>
      </c>
      <c r="AX23" s="1">
        <f t="shared" si="36"/>
        <v>3.8912354096885438E-3</v>
      </c>
      <c r="AY23" s="1">
        <f t="shared" si="37"/>
        <v>1.2227141822684333E-2</v>
      </c>
      <c r="AZ23" s="1">
        <f t="shared" si="38"/>
        <v>2.3251619772842371E-3</v>
      </c>
      <c r="BB23" s="1">
        <f t="shared" si="47"/>
        <v>0.99799768152597734</v>
      </c>
      <c r="BC23" s="1">
        <f t="shared" si="48"/>
        <v>1.0000000000000002</v>
      </c>
      <c r="BD23" s="1">
        <f t="shared" si="49"/>
        <v>0.99295869811493087</v>
      </c>
      <c r="BE23" s="1">
        <f t="shared" si="50"/>
        <v>0.98976867811089053</v>
      </c>
      <c r="BF23" s="1">
        <f t="shared" si="51"/>
        <v>0.97235777152039637</v>
      </c>
      <c r="BG23" s="1">
        <f t="shared" si="52"/>
        <v>0.98699613277593601</v>
      </c>
      <c r="BH23" s="1">
        <f t="shared" si="53"/>
        <v>1</v>
      </c>
      <c r="BI23" s="1">
        <f t="shared" si="54"/>
        <v>0.99245744892301568</v>
      </c>
      <c r="BJ23" s="1">
        <f t="shared" si="55"/>
        <v>0.99999999999999967</v>
      </c>
      <c r="BK23" s="1">
        <f t="shared" si="56"/>
        <v>0.98997431059176588</v>
      </c>
      <c r="BL23" s="1">
        <f t="shared" si="57"/>
        <v>0.98598257708107095</v>
      </c>
      <c r="BM23" s="1">
        <f t="shared" si="58"/>
        <v>0.99173696086211238</v>
      </c>
      <c r="BN23" s="1">
        <f t="shared" si="59"/>
        <v>0.99277677789434182</v>
      </c>
      <c r="BO23" s="1">
        <f t="shared" si="60"/>
        <v>0.9911308507680765</v>
      </c>
      <c r="BQ23">
        <v>82.5</v>
      </c>
      <c r="BR23" s="1">
        <f t="shared" si="40"/>
        <v>3.8912354096885438E-3</v>
      </c>
      <c r="BS23">
        <f t="shared" si="41"/>
        <v>-5.5490285857333674</v>
      </c>
      <c r="BT23">
        <f t="shared" si="42"/>
        <v>6806.25</v>
      </c>
      <c r="BU23">
        <f t="shared" si="43"/>
        <v>82.5</v>
      </c>
      <c r="BV23" s="1">
        <f t="shared" si="44"/>
        <v>9.0829510622924747</v>
      </c>
      <c r="BW23" s="1">
        <f t="shared" si="45"/>
        <v>5.5782346634938819E-3</v>
      </c>
      <c r="BX23" s="1">
        <f t="shared" si="46"/>
        <v>5.8420559331968831E-3</v>
      </c>
      <c r="CF23">
        <v>90</v>
      </c>
      <c r="CG23">
        <v>95</v>
      </c>
      <c r="CH23">
        <v>1065.175</v>
      </c>
      <c r="CI23">
        <v>1.3000000000000002E-3</v>
      </c>
      <c r="CJ23">
        <v>813934.5</v>
      </c>
      <c r="CK23">
        <v>0.99860000000000004</v>
      </c>
      <c r="CP23" t="s">
        <v>41</v>
      </c>
      <c r="CS23">
        <v>16</v>
      </c>
      <c r="CW23">
        <v>95</v>
      </c>
      <c r="CX23">
        <v>100</v>
      </c>
      <c r="CY23">
        <v>0</v>
      </c>
      <c r="CZ23">
        <v>0</v>
      </c>
      <c r="DA23">
        <v>921368.3</v>
      </c>
      <c r="DB23">
        <v>1</v>
      </c>
      <c r="DF23">
        <f>SUM(DF1:DF22)</f>
        <v>150823.17500000005</v>
      </c>
    </row>
    <row r="24" spans="1:115" x14ac:dyDescent="0.2">
      <c r="A24">
        <v>87.5</v>
      </c>
      <c r="B24">
        <v>76</v>
      </c>
      <c r="D24">
        <v>13183</v>
      </c>
      <c r="E24">
        <v>1763</v>
      </c>
      <c r="F24">
        <v>1875</v>
      </c>
      <c r="G24">
        <v>3487</v>
      </c>
      <c r="H24">
        <v>0</v>
      </c>
      <c r="I24">
        <v>721</v>
      </c>
      <c r="K24">
        <v>2205</v>
      </c>
      <c r="L24">
        <f t="shared" si="2"/>
        <v>7125</v>
      </c>
      <c r="M24">
        <f t="shared" si="3"/>
        <v>2926</v>
      </c>
      <c r="N24">
        <f t="shared" si="4"/>
        <v>3002</v>
      </c>
      <c r="O24">
        <f t="shared" si="5"/>
        <v>30435</v>
      </c>
      <c r="Q24">
        <v>35</v>
      </c>
      <c r="R24" s="2">
        <f t="shared" si="6"/>
        <v>76</v>
      </c>
      <c r="S24" s="2">
        <f t="shared" si="7"/>
        <v>0</v>
      </c>
      <c r="T24" s="2">
        <f t="shared" si="8"/>
        <v>13183</v>
      </c>
      <c r="U24" s="2">
        <f t="shared" si="9"/>
        <v>1763</v>
      </c>
      <c r="V24" s="2">
        <f t="shared" si="10"/>
        <v>1875</v>
      </c>
      <c r="W24" s="2">
        <f t="shared" si="11"/>
        <v>3487</v>
      </c>
      <c r="X24" s="2">
        <f t="shared" si="12"/>
        <v>0</v>
      </c>
      <c r="Y24" s="2">
        <f t="shared" si="13"/>
        <v>721</v>
      </c>
      <c r="Z24" s="2">
        <f t="shared" si="14"/>
        <v>0</v>
      </c>
      <c r="AA24" s="2">
        <f t="shared" si="15"/>
        <v>2205</v>
      </c>
      <c r="AB24" s="2">
        <f t="shared" si="16"/>
        <v>7125</v>
      </c>
      <c r="AC24" s="2">
        <f t="shared" si="17"/>
        <v>2926</v>
      </c>
      <c r="AD24" s="2">
        <f t="shared" si="18"/>
        <v>3002</v>
      </c>
      <c r="AE24" s="2">
        <f t="shared" si="19"/>
        <v>30435</v>
      </c>
      <c r="AF24">
        <f t="shared" si="20"/>
        <v>3002</v>
      </c>
      <c r="AG24">
        <f t="shared" si="21"/>
        <v>27433</v>
      </c>
      <c r="AJ24">
        <f t="shared" si="22"/>
        <v>87.5</v>
      </c>
      <c r="AK24" s="1">
        <f t="shared" si="23"/>
        <v>2.0023184740225524E-3</v>
      </c>
      <c r="AL24" s="1">
        <f t="shared" si="24"/>
        <v>0</v>
      </c>
      <c r="AM24" s="1">
        <f t="shared" si="25"/>
        <v>7.0413018850691601E-3</v>
      </c>
      <c r="AN24" s="1">
        <f t="shared" si="26"/>
        <v>1.0231321889109416E-2</v>
      </c>
      <c r="AO24" s="1">
        <f t="shared" si="27"/>
        <v>2.7642228479603723E-2</v>
      </c>
      <c r="AP24" s="1">
        <f t="shared" si="28"/>
        <v>1.3003867224064054E-2</v>
      </c>
      <c r="AQ24" s="1">
        <f t="shared" si="29"/>
        <v>0</v>
      </c>
      <c r="AR24" s="1">
        <f t="shared" si="30"/>
        <v>7.5425510769842347E-3</v>
      </c>
      <c r="AS24" s="1">
        <f t="shared" si="31"/>
        <v>0</v>
      </c>
      <c r="AT24" s="1">
        <f t="shared" si="32"/>
        <v>1.0025689408234251E-2</v>
      </c>
      <c r="AU24" s="1">
        <f t="shared" si="33"/>
        <v>1.4017422918929127E-2</v>
      </c>
      <c r="AV24" s="1">
        <f t="shared" si="34"/>
        <v>8.2630391378877011E-3</v>
      </c>
      <c r="AW24" s="1">
        <f t="shared" si="35"/>
        <v>7.2232221056582708E-3</v>
      </c>
      <c r="AX24" s="1">
        <f t="shared" si="36"/>
        <v>8.8691492319232252E-3</v>
      </c>
      <c r="AY24" s="1">
        <f t="shared" si="37"/>
        <v>5.5313260626429122E-3</v>
      </c>
      <c r="AZ24" s="1">
        <f t="shared" si="38"/>
        <v>9.4962287513530568E-3</v>
      </c>
      <c r="BB24" s="1">
        <f t="shared" si="47"/>
        <v>0.99999999999999989</v>
      </c>
      <c r="BC24" s="1">
        <f t="shared" si="48"/>
        <v>1.0000000000000002</v>
      </c>
      <c r="BD24" s="1">
        <f t="shared" si="49"/>
        <v>1</v>
      </c>
      <c r="BE24" s="1">
        <f t="shared" si="50"/>
        <v>1</v>
      </c>
      <c r="BF24" s="1">
        <f t="shared" si="51"/>
        <v>1</v>
      </c>
      <c r="BG24" s="1">
        <f t="shared" si="52"/>
        <v>1</v>
      </c>
      <c r="BH24" s="1">
        <f t="shared" si="53"/>
        <v>1</v>
      </c>
      <c r="BI24" s="1">
        <f t="shared" si="54"/>
        <v>0.99999999999999989</v>
      </c>
      <c r="BJ24" s="1">
        <f t="shared" si="55"/>
        <v>0.99999999999999967</v>
      </c>
      <c r="BK24" s="1">
        <f t="shared" si="56"/>
        <v>1.0000000000000002</v>
      </c>
      <c r="BL24" s="1">
        <f t="shared" si="57"/>
        <v>1</v>
      </c>
      <c r="BM24" s="1">
        <f t="shared" si="58"/>
        <v>1</v>
      </c>
      <c r="BN24" s="1">
        <f t="shared" si="59"/>
        <v>1</v>
      </c>
      <c r="BO24" s="1">
        <f t="shared" si="60"/>
        <v>0.99999999999999978</v>
      </c>
      <c r="BQ24">
        <v>87.5</v>
      </c>
      <c r="BR24" s="1">
        <f t="shared" si="40"/>
        <v>8.8691492319232252E-3</v>
      </c>
      <c r="BS24">
        <f t="shared" si="41"/>
        <v>-4.7251764024893061</v>
      </c>
      <c r="BT24">
        <f t="shared" si="42"/>
        <v>7656.25</v>
      </c>
      <c r="BU24">
        <f t="shared" si="43"/>
        <v>87.5</v>
      </c>
      <c r="BV24" s="1">
        <f t="shared" si="44"/>
        <v>9.354143466934854</v>
      </c>
      <c r="BW24" s="1">
        <f t="shared" si="45"/>
        <v>4.0750196042111117E-3</v>
      </c>
      <c r="BX24" s="1">
        <f t="shared" si="46"/>
        <v>4.2677466784382528E-3</v>
      </c>
      <c r="CF24">
        <v>95</v>
      </c>
      <c r="CG24">
        <v>100</v>
      </c>
      <c r="CH24">
        <v>742.05780000000004</v>
      </c>
      <c r="CI24">
        <v>9.0000000000000008E-4</v>
      </c>
      <c r="CJ24">
        <v>814676.5</v>
      </c>
      <c r="CK24">
        <v>0.99950000000000006</v>
      </c>
      <c r="CW24">
        <v>100</v>
      </c>
      <c r="CX24">
        <v>105</v>
      </c>
      <c r="CY24">
        <v>0</v>
      </c>
      <c r="CZ24">
        <v>0</v>
      </c>
      <c r="DA24">
        <v>921368.3</v>
      </c>
      <c r="DB24">
        <v>1</v>
      </c>
    </row>
    <row r="25" spans="1:115" x14ac:dyDescent="0.2">
      <c r="AK25" s="1"/>
      <c r="AL25" s="1"/>
      <c r="AM25" s="1"/>
      <c r="AN25" s="1"/>
      <c r="AO25" s="1"/>
      <c r="AP25" s="1"/>
      <c r="AQ25" s="1"/>
      <c r="AR25" s="1"/>
      <c r="AS25" s="1"/>
      <c r="AT25" s="1"/>
      <c r="BV25" s="1"/>
      <c r="BW25" s="1"/>
      <c r="BX25" s="1"/>
      <c r="CP25" t="s">
        <v>42</v>
      </c>
      <c r="CR25">
        <v>0.91953813988936683</v>
      </c>
      <c r="CW25">
        <v>105</v>
      </c>
      <c r="CX25">
        <v>110</v>
      </c>
      <c r="CY25">
        <v>0</v>
      </c>
      <c r="CZ25">
        <v>0</v>
      </c>
      <c r="DA25">
        <v>921368.3</v>
      </c>
      <c r="DB25">
        <v>1</v>
      </c>
      <c r="DD25">
        <v>95</v>
      </c>
      <c r="DE25">
        <v>100</v>
      </c>
      <c r="DF25">
        <v>1306.615</v>
      </c>
      <c r="DG25">
        <v>8.0999999999999996E-3</v>
      </c>
      <c r="DH25">
        <v>152129.79999999999</v>
      </c>
      <c r="DI25">
        <v>0.94389999999999996</v>
      </c>
    </row>
    <row r="26" spans="1:115" x14ac:dyDescent="0.2">
      <c r="AK26" s="1"/>
      <c r="AL26" s="1"/>
      <c r="AM26" s="1"/>
      <c r="AN26" s="1"/>
      <c r="AO26" s="1"/>
      <c r="AP26" s="1"/>
      <c r="AQ26" s="1"/>
      <c r="AR26" s="1"/>
      <c r="AS26" s="1"/>
      <c r="AT26" s="1"/>
      <c r="BR26">
        <f>SUM(BR7:BR24)</f>
        <v>0.99999999999999978</v>
      </c>
      <c r="BV26" s="1"/>
      <c r="BW26" s="1">
        <f>SUM(BW7:BW24)</f>
        <v>0.95484102296866691</v>
      </c>
      <c r="BX26" s="1">
        <f>SUM(BX7:BX24)</f>
        <v>1.0000000000000002</v>
      </c>
      <c r="CP26" t="s">
        <v>43</v>
      </c>
      <c r="CR26">
        <v>0.10808945342693871</v>
      </c>
      <c r="CW26">
        <v>110</v>
      </c>
      <c r="CX26">
        <v>115</v>
      </c>
      <c r="CY26">
        <v>0</v>
      </c>
      <c r="CZ26">
        <v>0</v>
      </c>
      <c r="DA26">
        <v>921368.3</v>
      </c>
      <c r="DB26">
        <v>1</v>
      </c>
      <c r="DD26">
        <v>100</v>
      </c>
      <c r="DE26">
        <v>105</v>
      </c>
      <c r="DF26">
        <v>1009.68</v>
      </c>
      <c r="DG26">
        <v>6.3E-3</v>
      </c>
      <c r="DH26">
        <v>153139.5</v>
      </c>
      <c r="DI26">
        <v>0.95009999999999994</v>
      </c>
    </row>
    <row r="27" spans="1:115" x14ac:dyDescent="0.2">
      <c r="B27">
        <f t="shared" ref="B27:O27" si="61">SUM(B7:B26)</f>
        <v>37956</v>
      </c>
      <c r="C27">
        <f t="shared" si="61"/>
        <v>23541</v>
      </c>
      <c r="D27">
        <f t="shared" si="61"/>
        <v>1872239</v>
      </c>
      <c r="E27">
        <f t="shared" si="61"/>
        <v>172314</v>
      </c>
      <c r="F27">
        <f t="shared" si="61"/>
        <v>67831</v>
      </c>
      <c r="G27">
        <f t="shared" si="61"/>
        <v>268151</v>
      </c>
      <c r="H27">
        <f t="shared" si="61"/>
        <v>38581</v>
      </c>
      <c r="I27">
        <f t="shared" si="61"/>
        <v>95591</v>
      </c>
      <c r="J27">
        <f t="shared" si="61"/>
        <v>127123</v>
      </c>
      <c r="K27">
        <f t="shared" si="61"/>
        <v>219935</v>
      </c>
      <c r="L27">
        <f t="shared" si="61"/>
        <v>508296</v>
      </c>
      <c r="M27">
        <f t="shared" si="61"/>
        <v>354107</v>
      </c>
      <c r="N27">
        <f t="shared" si="61"/>
        <v>415604</v>
      </c>
      <c r="O27">
        <f t="shared" si="61"/>
        <v>3431558</v>
      </c>
      <c r="R27">
        <f t="shared" ref="R27:AG27" si="62">SUM(R7:R26)</f>
        <v>37956</v>
      </c>
      <c r="S27">
        <f t="shared" si="62"/>
        <v>23541</v>
      </c>
      <c r="T27">
        <f t="shared" si="62"/>
        <v>1872239</v>
      </c>
      <c r="U27">
        <f t="shared" si="62"/>
        <v>172314</v>
      </c>
      <c r="V27">
        <f t="shared" si="62"/>
        <v>67831</v>
      </c>
      <c r="W27">
        <f t="shared" si="62"/>
        <v>268151</v>
      </c>
      <c r="X27">
        <f t="shared" si="62"/>
        <v>38581</v>
      </c>
      <c r="Y27">
        <f t="shared" si="62"/>
        <v>95591</v>
      </c>
      <c r="Z27">
        <f t="shared" si="62"/>
        <v>127123</v>
      </c>
      <c r="AA27">
        <f t="shared" si="62"/>
        <v>219935</v>
      </c>
      <c r="AB27">
        <f t="shared" si="62"/>
        <v>508296</v>
      </c>
      <c r="AC27">
        <f t="shared" si="62"/>
        <v>354107</v>
      </c>
      <c r="AD27">
        <f t="shared" si="62"/>
        <v>415604</v>
      </c>
      <c r="AE27">
        <f t="shared" si="62"/>
        <v>3431558</v>
      </c>
      <c r="AF27">
        <f t="shared" si="62"/>
        <v>542727</v>
      </c>
      <c r="AG27">
        <f t="shared" si="62"/>
        <v>2888831</v>
      </c>
      <c r="AK27">
        <f t="shared" ref="AK27:AZ27" si="63">SUM(AK7:AK26)</f>
        <v>0.99999999999999989</v>
      </c>
      <c r="AL27">
        <f t="shared" si="63"/>
        <v>1.0000000000000002</v>
      </c>
      <c r="AM27">
        <f t="shared" si="63"/>
        <v>1</v>
      </c>
      <c r="AN27">
        <f t="shared" si="63"/>
        <v>1</v>
      </c>
      <c r="AO27">
        <f t="shared" si="63"/>
        <v>1</v>
      </c>
      <c r="AP27">
        <f t="shared" si="63"/>
        <v>1</v>
      </c>
      <c r="AQ27">
        <f t="shared" si="63"/>
        <v>1</v>
      </c>
      <c r="AR27">
        <f t="shared" si="63"/>
        <v>0.99999999999999989</v>
      </c>
      <c r="AS27">
        <f t="shared" si="63"/>
        <v>0.99999999999999967</v>
      </c>
      <c r="AT27">
        <f t="shared" si="63"/>
        <v>1.0000000000000002</v>
      </c>
      <c r="AU27">
        <f t="shared" si="63"/>
        <v>1</v>
      </c>
      <c r="AV27">
        <f t="shared" si="63"/>
        <v>1</v>
      </c>
      <c r="AW27">
        <f t="shared" si="63"/>
        <v>1</v>
      </c>
      <c r="AX27">
        <f t="shared" si="63"/>
        <v>0.99999999999999978</v>
      </c>
      <c r="AY27">
        <f t="shared" si="63"/>
        <v>1</v>
      </c>
      <c r="AZ27">
        <f t="shared" si="63"/>
        <v>1</v>
      </c>
      <c r="BV27" s="1"/>
      <c r="BW27" s="1"/>
      <c r="BX27" s="1"/>
      <c r="CW27">
        <v>115</v>
      </c>
      <c r="CX27">
        <v>120</v>
      </c>
      <c r="CY27">
        <v>0</v>
      </c>
      <c r="CZ27">
        <v>0</v>
      </c>
      <c r="DA27">
        <v>921368.3</v>
      </c>
      <c r="DB27">
        <v>1</v>
      </c>
      <c r="DD27">
        <v>105</v>
      </c>
      <c r="DE27">
        <v>110</v>
      </c>
      <c r="DF27">
        <v>834.18029999999999</v>
      </c>
      <c r="DG27">
        <v>5.2000000000000006E-3</v>
      </c>
      <c r="DH27">
        <v>153973.70000000001</v>
      </c>
      <c r="DI27">
        <v>0.95530000000000004</v>
      </c>
    </row>
    <row r="28" spans="1:115" x14ac:dyDescent="0.2">
      <c r="BV28" s="1"/>
      <c r="BW28" s="1"/>
      <c r="BX28" s="1"/>
      <c r="CW28">
        <v>120</v>
      </c>
      <c r="CX28">
        <v>125</v>
      </c>
      <c r="CY28">
        <v>0</v>
      </c>
      <c r="CZ28">
        <v>0</v>
      </c>
      <c r="DA28">
        <v>921368.3</v>
      </c>
      <c r="DB28">
        <v>1</v>
      </c>
      <c r="DD28">
        <v>110</v>
      </c>
      <c r="DE28">
        <v>115</v>
      </c>
      <c r="DF28">
        <v>808.51679999999999</v>
      </c>
      <c r="DG28">
        <v>5.0000000000000001E-3</v>
      </c>
      <c r="DH28">
        <v>154782.20000000001</v>
      </c>
      <c r="DI28">
        <v>0.96030000000000004</v>
      </c>
    </row>
    <row r="29" spans="1:115" x14ac:dyDescent="0.2">
      <c r="BV29" s="1"/>
      <c r="BW29" s="1"/>
      <c r="BX29" s="1"/>
      <c r="CW29">
        <v>125</v>
      </c>
      <c r="CX29">
        <v>130</v>
      </c>
      <c r="CY29">
        <v>0</v>
      </c>
      <c r="CZ29">
        <v>0</v>
      </c>
      <c r="DA29">
        <v>921368.3</v>
      </c>
      <c r="DB29">
        <v>1</v>
      </c>
      <c r="DD29">
        <v>115</v>
      </c>
      <c r="DE29">
        <v>120</v>
      </c>
      <c r="DF29">
        <v>695.21130000000005</v>
      </c>
      <c r="DG29">
        <v>4.3E-3</v>
      </c>
      <c r="DH29">
        <v>155477.4</v>
      </c>
      <c r="DI29">
        <v>0.96460000000000001</v>
      </c>
    </row>
    <row r="30" spans="1:115" x14ac:dyDescent="0.2">
      <c r="BV30" s="1"/>
      <c r="BW30" s="1"/>
      <c r="BX30" s="1"/>
      <c r="CW30">
        <v>130</v>
      </c>
      <c r="CX30">
        <v>135</v>
      </c>
      <c r="CY30">
        <v>0</v>
      </c>
      <c r="CZ30">
        <v>0</v>
      </c>
      <c r="DA30">
        <v>921368.3</v>
      </c>
      <c r="DB30">
        <v>1</v>
      </c>
      <c r="DD30">
        <v>120</v>
      </c>
      <c r="DE30">
        <v>125</v>
      </c>
      <c r="DF30">
        <v>583.80370000000005</v>
      </c>
      <c r="DG30">
        <v>3.6000000000000003E-3</v>
      </c>
      <c r="DH30">
        <v>156061.20000000001</v>
      </c>
      <c r="DI30">
        <v>0.96819999999999995</v>
      </c>
    </row>
    <row r="31" spans="1:115" x14ac:dyDescent="0.2">
      <c r="BV31" s="1"/>
      <c r="BW31" s="1"/>
      <c r="BX31" s="1"/>
      <c r="CW31">
        <v>135</v>
      </c>
      <c r="CX31">
        <v>140</v>
      </c>
      <c r="CY31">
        <v>0</v>
      </c>
      <c r="CZ31">
        <v>0</v>
      </c>
      <c r="DA31">
        <v>921368.3</v>
      </c>
      <c r="DB31">
        <v>1</v>
      </c>
      <c r="DD31">
        <v>125</v>
      </c>
      <c r="DE31">
        <v>130</v>
      </c>
      <c r="DF31">
        <v>548.57650000000001</v>
      </c>
      <c r="DG31">
        <v>3.4000000000000002E-3</v>
      </c>
      <c r="DH31">
        <v>156609.79999999999</v>
      </c>
      <c r="DI31">
        <v>0.97160000000000002</v>
      </c>
    </row>
    <row r="32" spans="1:115" x14ac:dyDescent="0.2">
      <c r="BV32" s="1"/>
      <c r="BW32" s="1"/>
      <c r="BX32" s="1"/>
      <c r="CW32">
        <v>140</v>
      </c>
      <c r="CX32">
        <v>145</v>
      </c>
      <c r="CY32">
        <v>0</v>
      </c>
      <c r="CZ32">
        <v>0</v>
      </c>
      <c r="DA32">
        <v>921368.3</v>
      </c>
      <c r="DB32">
        <v>1</v>
      </c>
      <c r="DD32">
        <v>130</v>
      </c>
      <c r="DE32">
        <v>135</v>
      </c>
      <c r="DF32">
        <v>457.38619999999997</v>
      </c>
      <c r="DG32">
        <v>2.8E-3</v>
      </c>
      <c r="DH32">
        <v>157067.20000000001</v>
      </c>
      <c r="DI32">
        <v>0.97450000000000003</v>
      </c>
    </row>
    <row r="33" spans="74:124" x14ac:dyDescent="0.2">
      <c r="BV33" s="1"/>
      <c r="BW33" s="1"/>
      <c r="BX33" s="1"/>
      <c r="CW33">
        <v>145</v>
      </c>
      <c r="CX33">
        <v>150</v>
      </c>
      <c r="CY33">
        <v>0</v>
      </c>
      <c r="CZ33">
        <v>0</v>
      </c>
      <c r="DA33">
        <v>921368.3</v>
      </c>
      <c r="DB33">
        <v>1</v>
      </c>
      <c r="DD33">
        <v>135</v>
      </c>
      <c r="DE33">
        <v>140</v>
      </c>
      <c r="DF33">
        <v>486.80459999999999</v>
      </c>
      <c r="DG33">
        <v>3.0000000000000001E-3</v>
      </c>
      <c r="DH33">
        <v>157554</v>
      </c>
      <c r="DI33">
        <v>0.97750000000000004</v>
      </c>
    </row>
    <row r="34" spans="74:124" x14ac:dyDescent="0.2">
      <c r="BV34" s="1"/>
      <c r="BW34" s="1"/>
      <c r="BX34" s="1"/>
      <c r="DD34">
        <v>140</v>
      </c>
      <c r="DE34">
        <v>145</v>
      </c>
      <c r="DF34">
        <v>319.95859999999999</v>
      </c>
      <c r="DG34">
        <v>2E-3</v>
      </c>
      <c r="DH34">
        <v>157873.9</v>
      </c>
      <c r="DI34">
        <v>0.97950000000000004</v>
      </c>
    </row>
    <row r="35" spans="74:124" x14ac:dyDescent="0.2">
      <c r="BV35" s="1"/>
      <c r="BW35" s="1"/>
      <c r="BX35" s="1"/>
      <c r="DD35">
        <v>145</v>
      </c>
      <c r="DE35">
        <v>150</v>
      </c>
      <c r="DF35">
        <v>378.97379999999998</v>
      </c>
      <c r="DG35">
        <v>2.4000000000000002E-3</v>
      </c>
      <c r="DH35">
        <v>158252.9</v>
      </c>
      <c r="DI35">
        <v>0.98180000000000001</v>
      </c>
    </row>
    <row r="36" spans="74:124" x14ac:dyDescent="0.2">
      <c r="BV36" s="1"/>
      <c r="BW36" s="1"/>
      <c r="BX36" s="1"/>
    </row>
    <row r="37" spans="74:124" x14ac:dyDescent="0.2">
      <c r="BV37" s="1"/>
      <c r="BW37" s="1"/>
      <c r="BX37" s="1"/>
    </row>
    <row r="38" spans="74:124" x14ac:dyDescent="0.2">
      <c r="BV38" s="1"/>
      <c r="BW38" s="1"/>
      <c r="BX38" s="1"/>
    </row>
    <row r="39" spans="74:124" x14ac:dyDescent="0.2">
      <c r="BV39" s="1"/>
      <c r="BW39" s="1"/>
      <c r="BX39" s="1"/>
    </row>
    <row r="40" spans="74:124" x14ac:dyDescent="0.2">
      <c r="BV40" s="1"/>
      <c r="BW40" s="1"/>
      <c r="BX40" s="1"/>
    </row>
    <row r="41" spans="74:124" x14ac:dyDescent="0.2">
      <c r="BV41" s="1"/>
      <c r="BW41" s="1"/>
      <c r="BX41" s="1"/>
    </row>
    <row r="42" spans="74:124" x14ac:dyDescent="0.2">
      <c r="BV42" s="1"/>
      <c r="BW42" s="1"/>
      <c r="BX42" s="1"/>
    </row>
    <row r="43" spans="74:124" x14ac:dyDescent="0.2">
      <c r="BV43" s="1"/>
      <c r="BW43" s="1"/>
      <c r="BX43" s="1"/>
    </row>
    <row r="44" spans="74:124" x14ac:dyDescent="0.2">
      <c r="BV44" s="1"/>
      <c r="BW44" s="1"/>
      <c r="BX44" s="1"/>
    </row>
    <row r="45" spans="74:124" x14ac:dyDescent="0.2">
      <c r="BV45" s="1"/>
      <c r="BW45" s="1"/>
      <c r="BX45" s="1"/>
    </row>
    <row r="46" spans="74:124" x14ac:dyDescent="0.2">
      <c r="BV46" s="1"/>
      <c r="BW46" s="1"/>
      <c r="BX46" s="1"/>
    </row>
    <row r="47" spans="74:124" x14ac:dyDescent="0.2">
      <c r="BV47" s="1"/>
      <c r="BW47" s="1"/>
      <c r="BX47" s="1"/>
      <c r="DT47" t="s">
        <v>45</v>
      </c>
    </row>
    <row r="48" spans="74:124" x14ac:dyDescent="0.2">
      <c r="BV48" s="1"/>
      <c r="BW48" s="1"/>
      <c r="BX48" s="1"/>
    </row>
    <row r="49" spans="1:89" x14ac:dyDescent="0.2">
      <c r="BV49" s="1"/>
      <c r="BW49" s="1"/>
      <c r="BX49" s="1"/>
    </row>
    <row r="50" spans="1:89" x14ac:dyDescent="0.2">
      <c r="BV50" s="1"/>
      <c r="BW50" s="1"/>
      <c r="BX50" s="1"/>
    </row>
    <row r="51" spans="1:89" x14ac:dyDescent="0.2">
      <c r="A51" t="s">
        <v>46</v>
      </c>
      <c r="BV51" s="1"/>
      <c r="BW51" s="1"/>
      <c r="BX51" s="1"/>
    </row>
    <row r="52" spans="1:89" x14ac:dyDescent="0.2">
      <c r="R52" s="2"/>
      <c r="BB52" t="s">
        <v>47</v>
      </c>
      <c r="BV52" s="1"/>
      <c r="BW52" s="1"/>
      <c r="BX52" s="1"/>
    </row>
    <row r="53" spans="1:89" x14ac:dyDescent="0.2">
      <c r="B53" t="s">
        <v>48</v>
      </c>
      <c r="C53" t="s">
        <v>49</v>
      </c>
      <c r="D53" t="s">
        <v>50</v>
      </c>
      <c r="E53" t="s">
        <v>51</v>
      </c>
      <c r="F53" t="s">
        <v>30</v>
      </c>
      <c r="H53" t="s">
        <v>31</v>
      </c>
      <c r="Q53" t="s">
        <v>31</v>
      </c>
      <c r="R53" t="s">
        <v>48</v>
      </c>
      <c r="S53" t="s">
        <v>49</v>
      </c>
      <c r="T53" t="s">
        <v>50</v>
      </c>
      <c r="U53" t="s">
        <v>51</v>
      </c>
      <c r="AK53" t="s">
        <v>48</v>
      </c>
      <c r="AL53" t="s">
        <v>49</v>
      </c>
      <c r="AM53" t="s">
        <v>50</v>
      </c>
      <c r="AN53" t="s">
        <v>51</v>
      </c>
      <c r="AO53" t="s">
        <v>30</v>
      </c>
      <c r="BB53" t="s">
        <v>48</v>
      </c>
      <c r="BC53" t="s">
        <v>49</v>
      </c>
      <c r="BD53" t="s">
        <v>50</v>
      </c>
      <c r="BE53" t="s">
        <v>51</v>
      </c>
      <c r="BF53" t="s">
        <v>30</v>
      </c>
      <c r="BQ53" t="s">
        <v>34</v>
      </c>
      <c r="BR53" t="s">
        <v>35</v>
      </c>
      <c r="BS53" t="s">
        <v>36</v>
      </c>
      <c r="BT53" t="s">
        <v>37</v>
      </c>
      <c r="BU53" t="s">
        <v>34</v>
      </c>
      <c r="BV53" s="1" t="s">
        <v>38</v>
      </c>
      <c r="BW53" s="1" t="s">
        <v>39</v>
      </c>
      <c r="BX53" s="1"/>
      <c r="CA53" t="s">
        <v>1</v>
      </c>
    </row>
    <row r="54" spans="1:89" x14ac:dyDescent="0.2">
      <c r="A54">
        <v>2.5</v>
      </c>
      <c r="B54">
        <v>96871</v>
      </c>
      <c r="C54">
        <v>150936</v>
      </c>
      <c r="D54">
        <v>4095</v>
      </c>
      <c r="E54">
        <v>20583</v>
      </c>
      <c r="F54">
        <f t="shared" ref="F54:F72" si="64">SUM(B54:E54)</f>
        <v>272485</v>
      </c>
      <c r="H54">
        <v>1</v>
      </c>
      <c r="Q54">
        <v>1</v>
      </c>
      <c r="R54" s="2">
        <f t="shared" ref="R54:R71" si="65">B54/$Q54</f>
        <v>96871</v>
      </c>
      <c r="S54" s="2">
        <f t="shared" ref="S54:S71" si="66">C54/$Q54</f>
        <v>150936</v>
      </c>
      <c r="T54" s="2">
        <f t="shared" ref="T54:T71" si="67">D54/$Q54</f>
        <v>4095</v>
      </c>
      <c r="U54" s="2">
        <f t="shared" ref="U54:U71" si="68">E54/$Q54</f>
        <v>20583</v>
      </c>
      <c r="V54" s="2">
        <f t="shared" ref="V54:V71" si="69">F54/$Q54</f>
        <v>272485</v>
      </c>
      <c r="AJ54">
        <v>0</v>
      </c>
      <c r="AK54" s="1">
        <f t="shared" ref="AK54:AK72" si="70">R54/R$74</f>
        <v>0.57665582522732839</v>
      </c>
      <c r="AL54" s="1">
        <f t="shared" ref="AL54:AL72" si="71">S54/S$74</f>
        <v>0.57080414445723215</v>
      </c>
      <c r="AM54" s="1">
        <f t="shared" ref="AM54:AM72" si="72">T54/T$74</f>
        <v>0.43597552773618442</v>
      </c>
      <c r="AN54" s="1">
        <f t="shared" ref="AN54:AN72" si="73">U54/U$74</f>
        <v>0.69289409023237358</v>
      </c>
      <c r="AO54" s="1" t="e">
        <f t="shared" ref="AO54:AO72" si="74">V54/V$74</f>
        <v>#DIV/0!</v>
      </c>
      <c r="BB54" s="1">
        <f>AK54</f>
        <v>0.57665582522732839</v>
      </c>
      <c r="BC54" s="1">
        <f>AL54</f>
        <v>0.57080414445723215</v>
      </c>
      <c r="BD54" s="1">
        <f>AM54</f>
        <v>0.43597552773618442</v>
      </c>
      <c r="BE54" s="1">
        <f>AN54</f>
        <v>0.69289409023237358</v>
      </c>
      <c r="BF54" s="1" t="e">
        <f>AO54</f>
        <v>#DIV/0!</v>
      </c>
      <c r="BG54" s="1"/>
      <c r="BH54" s="1"/>
      <c r="BI54" s="1"/>
      <c r="BJ54" s="1"/>
      <c r="BK54" s="1"/>
      <c r="BQ54">
        <v>2.5</v>
      </c>
      <c r="BR54" s="1">
        <f t="shared" ref="BR54:BR72" si="75">AN54</f>
        <v>0.69289409023237358</v>
      </c>
      <c r="BS54">
        <f t="shared" ref="BS54:BS72" si="76">LN(BR54)</f>
        <v>-0.36687811941912746</v>
      </c>
      <c r="BT54">
        <f t="shared" ref="BT54:BT72" si="77">BU54*BU54</f>
        <v>6.25</v>
      </c>
      <c r="BU54">
        <f t="shared" ref="BU54:BU72" si="78">BQ54</f>
        <v>2.5</v>
      </c>
      <c r="BV54" s="1">
        <f t="shared" ref="BV54:BV72" si="79">SQRT(BQ54)</f>
        <v>1.5811388300841898</v>
      </c>
      <c r="BW54" s="1">
        <f t="shared" ref="BW54:BW72" si="80">EXP(+$CC$54+$CB$60*BU54+$CC$60*BU54)</f>
        <v>0.52320731180545066</v>
      </c>
      <c r="BX54" s="1">
        <f t="shared" ref="BX54:BX72" si="81">BW54/$BW$26</f>
        <v>0.54795227605404184</v>
      </c>
      <c r="BZ54" t="s">
        <v>2</v>
      </c>
      <c r="CC54">
        <v>-0.1860690256213357</v>
      </c>
      <c r="CF54">
        <v>0</v>
      </c>
      <c r="CG54">
        <v>5</v>
      </c>
      <c r="CH54">
        <v>512678.8</v>
      </c>
      <c r="CI54">
        <v>0.29149999999999998</v>
      </c>
      <c r="CJ54">
        <v>512678.8</v>
      </c>
      <c r="CK54">
        <v>0.29149999999999998</v>
      </c>
    </row>
    <row r="55" spans="1:89" x14ac:dyDescent="0.2">
      <c r="A55">
        <v>7.5</v>
      </c>
      <c r="B55">
        <v>108387</v>
      </c>
      <c r="C55">
        <v>165630</v>
      </c>
      <c r="D55">
        <v>5229</v>
      </c>
      <c r="E55">
        <v>14293</v>
      </c>
      <c r="F55">
        <f t="shared" si="64"/>
        <v>293539</v>
      </c>
      <c r="H55">
        <v>3</v>
      </c>
      <c r="Q55">
        <v>3</v>
      </c>
      <c r="R55" s="2">
        <f t="shared" si="65"/>
        <v>36129</v>
      </c>
      <c r="S55" s="2">
        <f t="shared" si="66"/>
        <v>55210</v>
      </c>
      <c r="T55" s="2">
        <f t="shared" si="67"/>
        <v>1743</v>
      </c>
      <c r="U55" s="2">
        <f t="shared" si="68"/>
        <v>4764.333333333333</v>
      </c>
      <c r="V55" s="2">
        <f t="shared" si="69"/>
        <v>97846.333333333328</v>
      </c>
      <c r="AJ55">
        <v>5</v>
      </c>
      <c r="AK55" s="1">
        <f t="shared" si="70"/>
        <v>0.21506950800175645</v>
      </c>
      <c r="AL55" s="1">
        <f t="shared" si="71"/>
        <v>0.20879112216756632</v>
      </c>
      <c r="AM55" s="1">
        <f t="shared" si="72"/>
        <v>0.18556907078001697</v>
      </c>
      <c r="AN55" s="1">
        <f t="shared" si="73"/>
        <v>0.16038373466276887</v>
      </c>
      <c r="AO55" s="1" t="e">
        <f t="shared" si="74"/>
        <v>#DIV/0!</v>
      </c>
      <c r="BB55" s="1">
        <f t="shared" ref="BB55:BB71" si="82">AK55+BB54</f>
        <v>0.79172533322908478</v>
      </c>
      <c r="BC55" s="1">
        <f t="shared" ref="BC55:BC71" si="83">AL55+BC54</f>
        <v>0.7795952666247985</v>
      </c>
      <c r="BD55" s="1">
        <f t="shared" ref="BD55:BD71" si="84">AM55+BD54</f>
        <v>0.62154459851620136</v>
      </c>
      <c r="BE55" s="1">
        <f t="shared" ref="BE55:BE71" si="85">AN55+BE54</f>
        <v>0.85327782489514248</v>
      </c>
      <c r="BF55" s="1" t="e">
        <f t="shared" ref="BF55:BF71" si="86">AO55+BF54</f>
        <v>#DIV/0!</v>
      </c>
      <c r="BG55" s="1"/>
      <c r="BH55" s="1"/>
      <c r="BI55" s="1"/>
      <c r="BJ55" s="1"/>
      <c r="BK55" s="1"/>
      <c r="BQ55">
        <v>7.5</v>
      </c>
      <c r="BR55" s="1">
        <f t="shared" si="75"/>
        <v>0.16038373466276887</v>
      </c>
      <c r="BS55">
        <f t="shared" si="76"/>
        <v>-1.8301859935371225</v>
      </c>
      <c r="BT55">
        <f t="shared" si="77"/>
        <v>56.25</v>
      </c>
      <c r="BU55">
        <f t="shared" si="78"/>
        <v>7.5</v>
      </c>
      <c r="BV55" s="1">
        <f t="shared" si="79"/>
        <v>2.7386127875258306</v>
      </c>
      <c r="BW55" s="1">
        <f t="shared" si="80"/>
        <v>0.20779682904591038</v>
      </c>
      <c r="BX55" s="1">
        <f t="shared" si="81"/>
        <v>0.21762453020698214</v>
      </c>
      <c r="BZ55" t="s">
        <v>5</v>
      </c>
      <c r="CC55">
        <v>0.54003557919243428</v>
      </c>
      <c r="CF55">
        <v>5</v>
      </c>
      <c r="CG55">
        <v>10</v>
      </c>
      <c r="CH55">
        <v>284162.8</v>
      </c>
      <c r="CI55">
        <v>0.16159999999999999</v>
      </c>
      <c r="CJ55">
        <v>796841.6</v>
      </c>
      <c r="CK55">
        <v>0.4531</v>
      </c>
    </row>
    <row r="56" spans="1:89" x14ac:dyDescent="0.2">
      <c r="A56">
        <v>12.5</v>
      </c>
      <c r="B56">
        <v>83450</v>
      </c>
      <c r="C56">
        <v>150992</v>
      </c>
      <c r="D56">
        <v>5184</v>
      </c>
      <c r="E56">
        <v>14376</v>
      </c>
      <c r="F56">
        <f t="shared" si="64"/>
        <v>254002</v>
      </c>
      <c r="H56">
        <v>5</v>
      </c>
      <c r="Q56">
        <v>5</v>
      </c>
      <c r="R56" s="2">
        <f t="shared" si="65"/>
        <v>16690</v>
      </c>
      <c r="S56" s="2">
        <f t="shared" si="66"/>
        <v>30198.400000000001</v>
      </c>
      <c r="T56" s="2">
        <f t="shared" si="67"/>
        <v>1036.8</v>
      </c>
      <c r="U56" s="2">
        <f t="shared" si="68"/>
        <v>2875.2</v>
      </c>
      <c r="V56" s="2">
        <f t="shared" si="69"/>
        <v>50800.4</v>
      </c>
      <c r="AJ56">
        <v>10</v>
      </c>
      <c r="AK56" s="1">
        <f t="shared" si="70"/>
        <v>9.9352600087168619E-2</v>
      </c>
      <c r="AL56" s="1">
        <f t="shared" si="71"/>
        <v>0.11420318463439658</v>
      </c>
      <c r="AM56" s="1">
        <f t="shared" si="72"/>
        <v>0.11038325449496361</v>
      </c>
      <c r="AN56" s="1">
        <f t="shared" si="73"/>
        <v>9.6789053502216421E-2</v>
      </c>
      <c r="AO56" s="1" t="e">
        <f t="shared" si="74"/>
        <v>#DIV/0!</v>
      </c>
      <c r="BB56" s="1">
        <f t="shared" si="82"/>
        <v>0.8910779333162534</v>
      </c>
      <c r="BC56" s="1">
        <f t="shared" si="83"/>
        <v>0.8937984512591951</v>
      </c>
      <c r="BD56" s="1">
        <f t="shared" si="84"/>
        <v>0.73192785301116503</v>
      </c>
      <c r="BE56" s="1">
        <f t="shared" si="85"/>
        <v>0.95006687839735893</v>
      </c>
      <c r="BF56" s="1" t="e">
        <f t="shared" si="86"/>
        <v>#DIV/0!</v>
      </c>
      <c r="BG56" s="1"/>
      <c r="BH56" s="1"/>
      <c r="BI56" s="1"/>
      <c r="BJ56" s="1"/>
      <c r="BK56" s="1"/>
      <c r="BQ56">
        <v>12.5</v>
      </c>
      <c r="BR56" s="1">
        <f t="shared" si="75"/>
        <v>9.6789053502216421E-2</v>
      </c>
      <c r="BS56">
        <f t="shared" si="76"/>
        <v>-2.3352213747488335</v>
      </c>
      <c r="BT56">
        <f t="shared" si="77"/>
        <v>156.25</v>
      </c>
      <c r="BU56">
        <f t="shared" si="78"/>
        <v>12.5</v>
      </c>
      <c r="BV56" s="1">
        <f t="shared" si="79"/>
        <v>3.5355339059327378</v>
      </c>
      <c r="BW56" s="1">
        <f t="shared" si="80"/>
        <v>8.252851439047014E-2</v>
      </c>
      <c r="BX56" s="1">
        <f t="shared" si="81"/>
        <v>8.6431680672750394E-2</v>
      </c>
      <c r="BZ56" t="s">
        <v>8</v>
      </c>
      <c r="CC56">
        <v>0.95341633998605635</v>
      </c>
      <c r="CF56">
        <v>10</v>
      </c>
      <c r="CG56">
        <v>15</v>
      </c>
      <c r="CH56">
        <v>283462</v>
      </c>
      <c r="CI56">
        <v>0.16120000000000001</v>
      </c>
      <c r="CJ56">
        <v>1080304</v>
      </c>
      <c r="CK56">
        <v>0.61419999999999997</v>
      </c>
    </row>
    <row r="57" spans="1:89" x14ac:dyDescent="0.2">
      <c r="A57">
        <v>17.5</v>
      </c>
      <c r="B57">
        <v>52618</v>
      </c>
      <c r="C57">
        <v>85960</v>
      </c>
      <c r="D57">
        <v>5002</v>
      </c>
      <c r="E57">
        <v>5748</v>
      </c>
      <c r="F57">
        <f t="shared" si="64"/>
        <v>149328</v>
      </c>
      <c r="H57">
        <v>7</v>
      </c>
      <c r="Q57">
        <v>7</v>
      </c>
      <c r="R57" s="2">
        <f t="shared" si="65"/>
        <v>7516.8571428571431</v>
      </c>
      <c r="S57" s="2">
        <f t="shared" si="66"/>
        <v>12280</v>
      </c>
      <c r="T57" s="2">
        <f t="shared" si="67"/>
        <v>714.57142857142856</v>
      </c>
      <c r="U57" s="2">
        <f t="shared" si="68"/>
        <v>821.14285714285711</v>
      </c>
      <c r="V57" s="2">
        <f t="shared" si="69"/>
        <v>21332.571428571428</v>
      </c>
      <c r="AJ57">
        <v>15</v>
      </c>
      <c r="AK57" s="1">
        <f t="shared" si="70"/>
        <v>4.4746512979428561E-2</v>
      </c>
      <c r="AL57" s="1">
        <f t="shared" si="71"/>
        <v>4.6440046734608123E-2</v>
      </c>
      <c r="AM57" s="1">
        <f t="shared" si="72"/>
        <v>7.60770831933157E-2</v>
      </c>
      <c r="AN57" s="1">
        <f t="shared" si="73"/>
        <v>2.7642473543740557E-2</v>
      </c>
      <c r="AO57" s="1" t="e">
        <f t="shared" si="74"/>
        <v>#DIV/0!</v>
      </c>
      <c r="BB57" s="1">
        <f t="shared" si="82"/>
        <v>0.93582444629568196</v>
      </c>
      <c r="BC57" s="1">
        <f t="shared" si="83"/>
        <v>0.94023849799380321</v>
      </c>
      <c r="BD57" s="1">
        <f t="shared" si="84"/>
        <v>0.80800493620448077</v>
      </c>
      <c r="BE57" s="1">
        <f t="shared" si="85"/>
        <v>0.97770935194109954</v>
      </c>
      <c r="BF57" s="1" t="e">
        <f t="shared" si="86"/>
        <v>#DIV/0!</v>
      </c>
      <c r="BG57" s="1"/>
      <c r="BH57" s="1"/>
      <c r="BI57" s="1"/>
      <c r="BJ57" s="1"/>
      <c r="BK57" s="1"/>
      <c r="BQ57">
        <v>17.5</v>
      </c>
      <c r="BR57" s="1">
        <f t="shared" si="75"/>
        <v>2.7642473543740557E-2</v>
      </c>
      <c r="BS57">
        <f t="shared" si="76"/>
        <v>-3.5884017926345257</v>
      </c>
      <c r="BT57">
        <f t="shared" si="77"/>
        <v>306.25</v>
      </c>
      <c r="BU57">
        <f t="shared" si="78"/>
        <v>17.5</v>
      </c>
      <c r="BV57" s="1">
        <f t="shared" si="79"/>
        <v>4.1833001326703778</v>
      </c>
      <c r="BW57" s="1">
        <f t="shared" si="80"/>
        <v>3.2776995292807053E-2</v>
      </c>
      <c r="BX57" s="1">
        <f t="shared" si="81"/>
        <v>3.4327175419109145E-2</v>
      </c>
      <c r="BZ57" t="s">
        <v>16</v>
      </c>
      <c r="CC57">
        <v>8</v>
      </c>
      <c r="CF57">
        <v>15</v>
      </c>
      <c r="CG57">
        <v>20</v>
      </c>
      <c r="CH57">
        <v>221369.4</v>
      </c>
      <c r="CI57">
        <v>0.12590000000000001</v>
      </c>
      <c r="CJ57">
        <v>1301673</v>
      </c>
      <c r="CK57">
        <v>0.74009999999999998</v>
      </c>
    </row>
    <row r="58" spans="1:89" x14ac:dyDescent="0.2">
      <c r="A58">
        <v>22.5</v>
      </c>
      <c r="B58">
        <v>26426</v>
      </c>
      <c r="C58">
        <v>40819</v>
      </c>
      <c r="D58">
        <v>3484</v>
      </c>
      <c r="E58">
        <v>1843</v>
      </c>
      <c r="F58">
        <f t="shared" si="64"/>
        <v>72572</v>
      </c>
      <c r="H58">
        <v>9</v>
      </c>
      <c r="Q58">
        <v>9</v>
      </c>
      <c r="R58" s="2">
        <f t="shared" si="65"/>
        <v>2936.2222222222222</v>
      </c>
      <c r="S58" s="2">
        <f t="shared" si="66"/>
        <v>4535.4444444444443</v>
      </c>
      <c r="T58" s="2">
        <f t="shared" si="67"/>
        <v>387.11111111111109</v>
      </c>
      <c r="U58" s="2">
        <f t="shared" si="68"/>
        <v>204.77777777777777</v>
      </c>
      <c r="V58" s="2">
        <f t="shared" si="69"/>
        <v>8063.5555555555557</v>
      </c>
      <c r="AJ58">
        <v>20</v>
      </c>
      <c r="AK58" s="1">
        <f t="shared" si="70"/>
        <v>1.747880840092882E-2</v>
      </c>
      <c r="AL58" s="1">
        <f t="shared" si="71"/>
        <v>1.7151974915490125E-2</v>
      </c>
      <c r="AM58" s="1">
        <f t="shared" si="72"/>
        <v>4.1213912322150763E-2</v>
      </c>
      <c r="AN58" s="1">
        <f t="shared" si="73"/>
        <v>6.8935195079988581E-3</v>
      </c>
      <c r="AO58" s="1" t="e">
        <f t="shared" si="74"/>
        <v>#DIV/0!</v>
      </c>
      <c r="BB58" s="1">
        <f t="shared" si="82"/>
        <v>0.95330325469661081</v>
      </c>
      <c r="BC58" s="1">
        <f t="shared" si="83"/>
        <v>0.95739047290929336</v>
      </c>
      <c r="BD58" s="1">
        <f t="shared" si="84"/>
        <v>0.84921884852663154</v>
      </c>
      <c r="BE58" s="1">
        <f t="shared" si="85"/>
        <v>0.98460287144909842</v>
      </c>
      <c r="BF58" s="1" t="e">
        <f t="shared" si="86"/>
        <v>#DIV/0!</v>
      </c>
      <c r="BG58" s="1"/>
      <c r="BH58" s="1"/>
      <c r="BI58" s="1"/>
      <c r="BJ58" s="1"/>
      <c r="BK58" s="1"/>
      <c r="BQ58">
        <v>22.5</v>
      </c>
      <c r="BR58" s="1">
        <f t="shared" si="75"/>
        <v>6.8935195079988581E-3</v>
      </c>
      <c r="BS58">
        <f t="shared" si="76"/>
        <v>-4.9771735104445245</v>
      </c>
      <c r="BT58">
        <f t="shared" si="77"/>
        <v>506.25</v>
      </c>
      <c r="BU58">
        <f t="shared" si="78"/>
        <v>22.5</v>
      </c>
      <c r="BV58" s="1">
        <f t="shared" si="79"/>
        <v>4.7434164902525691</v>
      </c>
      <c r="BW58" s="1">
        <f t="shared" si="80"/>
        <v>1.3017699741227269E-2</v>
      </c>
      <c r="BX58" s="1">
        <f t="shared" si="81"/>
        <v>1.3633368726402579E-2</v>
      </c>
      <c r="BZ58" t="s">
        <v>41</v>
      </c>
      <c r="CC58">
        <v>6</v>
      </c>
      <c r="CF58">
        <v>20</v>
      </c>
      <c r="CG58">
        <v>25</v>
      </c>
      <c r="CH58">
        <v>154843.29999999999</v>
      </c>
      <c r="CI58">
        <v>8.7999999999999995E-2</v>
      </c>
      <c r="CJ58">
        <v>1456516</v>
      </c>
      <c r="CK58">
        <v>0.82820000000000005</v>
      </c>
    </row>
    <row r="59" spans="1:89" x14ac:dyDescent="0.2">
      <c r="A59">
        <v>27.5</v>
      </c>
      <c r="B59">
        <v>44422</v>
      </c>
      <c r="C59">
        <v>64311</v>
      </c>
      <c r="D59">
        <v>5190</v>
      </c>
      <c r="E59">
        <v>4301</v>
      </c>
      <c r="F59">
        <f t="shared" si="64"/>
        <v>118224</v>
      </c>
      <c r="H59">
        <v>11</v>
      </c>
      <c r="Q59">
        <v>11</v>
      </c>
      <c r="R59" s="2">
        <f t="shared" si="65"/>
        <v>4038.3636363636365</v>
      </c>
      <c r="S59" s="2">
        <f t="shared" si="66"/>
        <v>5846.454545454545</v>
      </c>
      <c r="T59" s="2">
        <f t="shared" si="67"/>
        <v>471.81818181818181</v>
      </c>
      <c r="U59" s="2">
        <f t="shared" si="68"/>
        <v>391</v>
      </c>
      <c r="V59" s="2">
        <f t="shared" si="69"/>
        <v>10747.636363636364</v>
      </c>
      <c r="AJ59">
        <v>25</v>
      </c>
      <c r="AK59" s="1">
        <f t="shared" si="70"/>
        <v>2.4039660118046761E-2</v>
      </c>
      <c r="AL59" s="1">
        <f t="shared" si="71"/>
        <v>2.2109904097937391E-2</v>
      </c>
      <c r="AM59" s="1">
        <f t="shared" si="72"/>
        <v>5.0232278586986284E-2</v>
      </c>
      <c r="AN59" s="1">
        <f t="shared" si="73"/>
        <v>1.3162395631387946E-2</v>
      </c>
      <c r="AO59" s="1" t="e">
        <f t="shared" si="74"/>
        <v>#DIV/0!</v>
      </c>
      <c r="BB59" s="1">
        <f t="shared" si="82"/>
        <v>0.97734291481465763</v>
      </c>
      <c r="BC59" s="1">
        <f t="shared" si="83"/>
        <v>0.97950037700723069</v>
      </c>
      <c r="BD59" s="1">
        <f t="shared" si="84"/>
        <v>0.89945112711361785</v>
      </c>
      <c r="BE59" s="1">
        <f t="shared" si="85"/>
        <v>0.99776526708048641</v>
      </c>
      <c r="BF59" s="1" t="e">
        <f t="shared" si="86"/>
        <v>#DIV/0!</v>
      </c>
      <c r="BG59" s="1"/>
      <c r="BH59" s="1"/>
      <c r="BI59" s="1"/>
      <c r="BJ59" s="1"/>
      <c r="BK59" s="1"/>
      <c r="BQ59">
        <v>27.5</v>
      </c>
      <c r="BR59" s="1">
        <f t="shared" si="75"/>
        <v>1.3162395631387946E-2</v>
      </c>
      <c r="BS59">
        <f t="shared" si="76"/>
        <v>-4.3303913307927617</v>
      </c>
      <c r="BT59">
        <f t="shared" si="77"/>
        <v>756.25</v>
      </c>
      <c r="BU59">
        <f t="shared" si="78"/>
        <v>27.5</v>
      </c>
      <c r="BV59" s="1">
        <f t="shared" si="79"/>
        <v>5.2440442408507577</v>
      </c>
      <c r="BW59" s="1">
        <f t="shared" si="80"/>
        <v>5.1701049787787334E-3</v>
      </c>
      <c r="BX59" s="1">
        <f t="shared" si="81"/>
        <v>5.4146238529891805E-3</v>
      </c>
      <c r="CF59">
        <v>25</v>
      </c>
      <c r="CG59">
        <v>30</v>
      </c>
      <c r="CH59">
        <v>106902.9</v>
      </c>
      <c r="CI59">
        <v>6.08E-2</v>
      </c>
      <c r="CJ59">
        <v>1563419</v>
      </c>
      <c r="CK59">
        <v>0.88890000000000002</v>
      </c>
    </row>
    <row r="60" spans="1:89" x14ac:dyDescent="0.2">
      <c r="A60">
        <v>32.5</v>
      </c>
      <c r="B60">
        <v>12830</v>
      </c>
      <c r="C60">
        <v>18204</v>
      </c>
      <c r="D60">
        <v>2627</v>
      </c>
      <c r="E60">
        <v>486</v>
      </c>
      <c r="F60">
        <f t="shared" si="64"/>
        <v>34147</v>
      </c>
      <c r="H60">
        <v>13</v>
      </c>
      <c r="Q60">
        <v>13</v>
      </c>
      <c r="R60" s="2">
        <f t="shared" si="65"/>
        <v>986.92307692307691</v>
      </c>
      <c r="S60" s="2">
        <f t="shared" si="66"/>
        <v>1400.3076923076924</v>
      </c>
      <c r="T60" s="2">
        <f t="shared" si="67"/>
        <v>202.07692307692307</v>
      </c>
      <c r="U60" s="2">
        <f t="shared" si="68"/>
        <v>37.384615384615387</v>
      </c>
      <c r="V60" s="2">
        <f t="shared" si="69"/>
        <v>2626.6923076923076</v>
      </c>
      <c r="AJ60">
        <v>30</v>
      </c>
      <c r="AK60" s="1">
        <f t="shared" si="70"/>
        <v>5.8749774582586229E-3</v>
      </c>
      <c r="AL60" s="1">
        <f t="shared" si="71"/>
        <v>5.2956314880782153E-3</v>
      </c>
      <c r="AM60" s="1">
        <f t="shared" si="72"/>
        <v>2.1514186369173596E-2</v>
      </c>
      <c r="AN60" s="1">
        <f t="shared" si="73"/>
        <v>1.2584938573390796E-3</v>
      </c>
      <c r="AO60" s="1" t="e">
        <f t="shared" si="74"/>
        <v>#DIV/0!</v>
      </c>
      <c r="BB60" s="1">
        <f t="shared" si="82"/>
        <v>0.98321789227291623</v>
      </c>
      <c r="BC60" s="1">
        <f t="shared" si="83"/>
        <v>0.98479600849530891</v>
      </c>
      <c r="BD60" s="1">
        <f t="shared" si="84"/>
        <v>0.92096531348279143</v>
      </c>
      <c r="BE60" s="1">
        <f t="shared" si="85"/>
        <v>0.99902376093782552</v>
      </c>
      <c r="BF60" s="1" t="e">
        <f t="shared" si="86"/>
        <v>#DIV/0!</v>
      </c>
      <c r="BG60" s="1"/>
      <c r="BH60" s="1"/>
      <c r="BI60" s="1"/>
      <c r="BJ60" s="1"/>
      <c r="BK60" s="1"/>
      <c r="BQ60">
        <v>32.5</v>
      </c>
      <c r="BR60" s="1">
        <f t="shared" si="75"/>
        <v>1.2584938573390796E-3</v>
      </c>
      <c r="BS60">
        <f t="shared" si="76"/>
        <v>-6.6778396243391711</v>
      </c>
      <c r="BT60">
        <f t="shared" si="77"/>
        <v>1056.25</v>
      </c>
      <c r="BU60">
        <f t="shared" si="78"/>
        <v>32.5</v>
      </c>
      <c r="BV60" s="1">
        <f t="shared" si="79"/>
        <v>5.7008771254956896</v>
      </c>
      <c r="BW60" s="1">
        <f t="shared" si="80"/>
        <v>2.053357046401855E-3</v>
      </c>
      <c r="BX60" s="1">
        <f t="shared" si="81"/>
        <v>2.1504700751312777E-3</v>
      </c>
      <c r="BZ60" t="s">
        <v>42</v>
      </c>
      <c r="CB60">
        <v>-0.18468339126085645</v>
      </c>
      <c r="CC60">
        <v>0</v>
      </c>
      <c r="CF60">
        <v>30</v>
      </c>
      <c r="CG60">
        <v>35</v>
      </c>
      <c r="CH60">
        <v>70775</v>
      </c>
      <c r="CI60">
        <v>4.02E-2</v>
      </c>
      <c r="CJ60">
        <v>1634194</v>
      </c>
      <c r="CK60">
        <v>0.92920000000000003</v>
      </c>
    </row>
    <row r="61" spans="1:89" x14ac:dyDescent="0.2">
      <c r="A61">
        <v>37.5</v>
      </c>
      <c r="B61">
        <v>14351</v>
      </c>
      <c r="C61">
        <v>19024</v>
      </c>
      <c r="D61">
        <v>1712</v>
      </c>
      <c r="E61">
        <v>435</v>
      </c>
      <c r="F61">
        <f t="shared" si="64"/>
        <v>35522</v>
      </c>
      <c r="H61">
        <v>15</v>
      </c>
      <c r="Q61">
        <v>15</v>
      </c>
      <c r="R61" s="2">
        <f t="shared" si="65"/>
        <v>956.73333333333335</v>
      </c>
      <c r="S61" s="2">
        <f t="shared" si="66"/>
        <v>1268.2666666666667</v>
      </c>
      <c r="T61" s="2">
        <f t="shared" si="67"/>
        <v>114.13333333333334</v>
      </c>
      <c r="U61" s="2">
        <f t="shared" si="68"/>
        <v>29</v>
      </c>
      <c r="V61" s="2">
        <f t="shared" si="69"/>
        <v>2368.1333333333332</v>
      </c>
      <c r="AJ61">
        <v>35</v>
      </c>
      <c r="AK61" s="1">
        <f t="shared" si="70"/>
        <v>5.6952632868023049E-3</v>
      </c>
      <c r="AL61" s="1">
        <f t="shared" si="71"/>
        <v>4.7962836540672363E-3</v>
      </c>
      <c r="AM61" s="1">
        <f t="shared" si="72"/>
        <v>1.2151243035968217E-2</v>
      </c>
      <c r="AN61" s="1">
        <f t="shared" si="73"/>
        <v>9.7623906217455354E-4</v>
      </c>
      <c r="AO61" s="1" t="e">
        <f t="shared" si="74"/>
        <v>#DIV/0!</v>
      </c>
      <c r="BB61" s="1">
        <f t="shared" si="82"/>
        <v>0.98891315555971848</v>
      </c>
      <c r="BC61" s="1">
        <f t="shared" si="83"/>
        <v>0.98959229214937616</v>
      </c>
      <c r="BD61" s="1">
        <f t="shared" si="84"/>
        <v>0.93311655651875969</v>
      </c>
      <c r="BE61" s="1">
        <f t="shared" si="85"/>
        <v>1</v>
      </c>
      <c r="BF61" s="1" t="e">
        <f t="shared" si="86"/>
        <v>#DIV/0!</v>
      </c>
      <c r="BG61" s="1"/>
      <c r="BH61" s="1"/>
      <c r="BI61" s="1"/>
      <c r="BJ61" s="1"/>
      <c r="BK61" s="1"/>
      <c r="BQ61">
        <v>37.5</v>
      </c>
      <c r="BR61" s="1">
        <f t="shared" si="75"/>
        <v>9.7623906217455354E-4</v>
      </c>
      <c r="BS61">
        <f t="shared" si="76"/>
        <v>-6.9318030607916539</v>
      </c>
      <c r="BT61">
        <f t="shared" si="77"/>
        <v>1406.25</v>
      </c>
      <c r="BU61">
        <f t="shared" si="78"/>
        <v>37.5</v>
      </c>
      <c r="BV61" s="1">
        <f t="shared" si="79"/>
        <v>6.1237243569579451</v>
      </c>
      <c r="BW61" s="1">
        <f t="shared" si="80"/>
        <v>8.1551055100705257E-4</v>
      </c>
      <c r="BX61" s="1">
        <f t="shared" si="81"/>
        <v>8.5407992680454153E-4</v>
      </c>
      <c r="BZ61" t="s">
        <v>43</v>
      </c>
      <c r="CB61">
        <v>1.6665859793622239E-2</v>
      </c>
      <c r="CC61">
        <v>0.82254470423804893</v>
      </c>
      <c r="CF61">
        <v>35</v>
      </c>
      <c r="CG61">
        <v>40</v>
      </c>
      <c r="CH61">
        <v>46684.19</v>
      </c>
      <c r="CI61">
        <v>2.6499999999999999E-2</v>
      </c>
      <c r="CJ61">
        <v>1680878</v>
      </c>
      <c r="CK61">
        <v>0.95569999999999999</v>
      </c>
    </row>
    <row r="62" spans="1:89" x14ac:dyDescent="0.2">
      <c r="A62">
        <v>42.5</v>
      </c>
      <c r="B62">
        <v>13541</v>
      </c>
      <c r="C62">
        <v>14415</v>
      </c>
      <c r="D62">
        <v>3142</v>
      </c>
      <c r="E62">
        <v>0</v>
      </c>
      <c r="F62">
        <f t="shared" si="64"/>
        <v>31098</v>
      </c>
      <c r="H62">
        <v>17</v>
      </c>
      <c r="Q62">
        <v>17</v>
      </c>
      <c r="R62" s="2">
        <f t="shared" si="65"/>
        <v>796.52941176470586</v>
      </c>
      <c r="S62" s="2">
        <f t="shared" si="66"/>
        <v>847.94117647058829</v>
      </c>
      <c r="T62" s="2">
        <f t="shared" si="67"/>
        <v>184.8235294117647</v>
      </c>
      <c r="U62" s="2">
        <f t="shared" si="68"/>
        <v>0</v>
      </c>
      <c r="V62" s="2">
        <f t="shared" si="69"/>
        <v>1829.2941176470588</v>
      </c>
      <c r="AJ62">
        <v>40</v>
      </c>
      <c r="AK62" s="1">
        <f t="shared" si="70"/>
        <v>4.7415978492945767E-3</v>
      </c>
      <c r="AL62" s="1">
        <f t="shared" si="71"/>
        <v>3.206712366733934E-3</v>
      </c>
      <c r="AM62" s="1">
        <f t="shared" si="72"/>
        <v>1.9677298113152213E-2</v>
      </c>
      <c r="AN62" s="1">
        <f t="shared" si="73"/>
        <v>0</v>
      </c>
      <c r="AO62" s="1" t="e">
        <f t="shared" si="74"/>
        <v>#DIV/0!</v>
      </c>
      <c r="BB62" s="1">
        <f t="shared" si="82"/>
        <v>0.9936547534090131</v>
      </c>
      <c r="BC62" s="1">
        <f t="shared" si="83"/>
        <v>0.99279900451611014</v>
      </c>
      <c r="BD62" s="1">
        <f t="shared" si="84"/>
        <v>0.95279385463191191</v>
      </c>
      <c r="BE62" s="1">
        <f t="shared" si="85"/>
        <v>1</v>
      </c>
      <c r="BF62" s="1" t="e">
        <f t="shared" si="86"/>
        <v>#DIV/0!</v>
      </c>
      <c r="BG62" s="1"/>
      <c r="BH62" s="1"/>
      <c r="BI62" s="1"/>
      <c r="BJ62" s="1"/>
      <c r="BK62" s="1"/>
      <c r="BQ62">
        <v>42.5</v>
      </c>
      <c r="BR62" s="1">
        <f t="shared" si="75"/>
        <v>0</v>
      </c>
      <c r="BS62" t="e">
        <f t="shared" si="76"/>
        <v>#NUM!</v>
      </c>
      <c r="BT62">
        <f t="shared" si="77"/>
        <v>1806.25</v>
      </c>
      <c r="BU62">
        <f t="shared" si="78"/>
        <v>42.5</v>
      </c>
      <c r="BV62" s="1">
        <f t="shared" si="79"/>
        <v>6.5192024052026492</v>
      </c>
      <c r="BW62" s="1">
        <f t="shared" si="80"/>
        <v>3.2388787910471873E-4</v>
      </c>
      <c r="BX62" s="1">
        <f t="shared" si="81"/>
        <v>3.3920607861791366E-4</v>
      </c>
      <c r="CB62">
        <f>CB60/CB61</f>
        <v>-11.081539959404427</v>
      </c>
      <c r="CC62">
        <f>CC60/CC61</f>
        <v>0</v>
      </c>
      <c r="CF62">
        <v>40</v>
      </c>
      <c r="CG62">
        <v>45</v>
      </c>
      <c r="CH62">
        <v>31096.81</v>
      </c>
      <c r="CI62">
        <v>1.77E-2</v>
      </c>
      <c r="CJ62">
        <v>1711975</v>
      </c>
      <c r="CK62">
        <v>0.97340000000000004</v>
      </c>
    </row>
    <row r="63" spans="1:89" x14ac:dyDescent="0.2">
      <c r="A63">
        <v>47.5</v>
      </c>
      <c r="B63">
        <v>6446</v>
      </c>
      <c r="C63">
        <v>12544</v>
      </c>
      <c r="D63">
        <v>1059</v>
      </c>
      <c r="E63">
        <v>0</v>
      </c>
      <c r="F63">
        <f t="shared" si="64"/>
        <v>20049</v>
      </c>
      <c r="H63">
        <v>19</v>
      </c>
      <c r="Q63">
        <v>19</v>
      </c>
      <c r="R63" s="2">
        <f t="shared" si="65"/>
        <v>339.26315789473682</v>
      </c>
      <c r="S63" s="2">
        <f t="shared" si="66"/>
        <v>660.21052631578948</v>
      </c>
      <c r="T63" s="2">
        <f t="shared" si="67"/>
        <v>55.736842105263158</v>
      </c>
      <c r="U63" s="2">
        <f t="shared" si="68"/>
        <v>0</v>
      </c>
      <c r="V63" s="2">
        <f t="shared" si="69"/>
        <v>1055.2105263157894</v>
      </c>
      <c r="AJ63">
        <v>45</v>
      </c>
      <c r="AK63" s="1">
        <f t="shared" si="70"/>
        <v>2.0195732085455803E-3</v>
      </c>
      <c r="AL63" s="1">
        <f t="shared" si="71"/>
        <v>2.4967595844287856E-3</v>
      </c>
      <c r="AM63" s="1">
        <f t="shared" si="72"/>
        <v>5.9340413067620248E-3</v>
      </c>
      <c r="AN63" s="1">
        <f t="shared" si="73"/>
        <v>0</v>
      </c>
      <c r="AO63" s="1" t="e">
        <f t="shared" si="74"/>
        <v>#DIV/0!</v>
      </c>
      <c r="BB63" s="1">
        <f t="shared" si="82"/>
        <v>0.99567432661755872</v>
      </c>
      <c r="BC63" s="1">
        <f t="shared" si="83"/>
        <v>0.99529576410053888</v>
      </c>
      <c r="BD63" s="1">
        <f t="shared" si="84"/>
        <v>0.95872789593867391</v>
      </c>
      <c r="BE63" s="1">
        <f t="shared" si="85"/>
        <v>1</v>
      </c>
      <c r="BF63" s="1" t="e">
        <f t="shared" si="86"/>
        <v>#DIV/0!</v>
      </c>
      <c r="BG63" s="1"/>
      <c r="BH63" s="1"/>
      <c r="BI63" s="1"/>
      <c r="BJ63" s="1"/>
      <c r="BK63" s="1"/>
      <c r="BQ63">
        <v>47.5</v>
      </c>
      <c r="BR63" s="1">
        <f t="shared" si="75"/>
        <v>0</v>
      </c>
      <c r="BS63" t="e">
        <f t="shared" si="76"/>
        <v>#NUM!</v>
      </c>
      <c r="BT63">
        <f t="shared" si="77"/>
        <v>2256.25</v>
      </c>
      <c r="BU63">
        <f t="shared" si="78"/>
        <v>47.5</v>
      </c>
      <c r="BV63" s="1">
        <f t="shared" si="79"/>
        <v>6.8920243760451108</v>
      </c>
      <c r="BW63" s="1">
        <f t="shared" si="80"/>
        <v>1.2863519435942381E-4</v>
      </c>
      <c r="BX63" s="1">
        <f t="shared" si="81"/>
        <v>1.3471896500580596E-4</v>
      </c>
      <c r="CF63">
        <v>45</v>
      </c>
      <c r="CG63">
        <v>50</v>
      </c>
      <c r="CH63">
        <v>20653.28</v>
      </c>
      <c r="CI63">
        <v>1.17E-2</v>
      </c>
      <c r="CJ63">
        <v>1732628</v>
      </c>
      <c r="CK63">
        <v>0.98519999999999996</v>
      </c>
    </row>
    <row r="64" spans="1:89" x14ac:dyDescent="0.2">
      <c r="A64">
        <v>52.5</v>
      </c>
      <c r="B64">
        <v>2490</v>
      </c>
      <c r="C64">
        <v>4968</v>
      </c>
      <c r="D64">
        <v>2041</v>
      </c>
      <c r="E64">
        <v>0</v>
      </c>
      <c r="F64">
        <f t="shared" si="64"/>
        <v>9499</v>
      </c>
      <c r="H64">
        <v>21</v>
      </c>
      <c r="Q64">
        <v>21</v>
      </c>
      <c r="R64" s="2">
        <f t="shared" si="65"/>
        <v>118.57142857142857</v>
      </c>
      <c r="S64" s="2">
        <f t="shared" si="66"/>
        <v>236.57142857142858</v>
      </c>
      <c r="T64" s="2">
        <f t="shared" si="67"/>
        <v>97.19047619047619</v>
      </c>
      <c r="U64" s="2">
        <f t="shared" si="68"/>
        <v>0</v>
      </c>
      <c r="V64" s="2">
        <f t="shared" si="69"/>
        <v>452.33333333333331</v>
      </c>
      <c r="AJ64">
        <v>50</v>
      </c>
      <c r="AK64" s="1">
        <f t="shared" si="70"/>
        <v>7.0583461501626255E-4</v>
      </c>
      <c r="AL64" s="1">
        <f t="shared" si="71"/>
        <v>8.9465701945685267E-4</v>
      </c>
      <c r="AM64" s="1">
        <f t="shared" si="72"/>
        <v>1.0347416153375805E-2</v>
      </c>
      <c r="AN64" s="1">
        <f t="shared" si="73"/>
        <v>0</v>
      </c>
      <c r="AO64" s="1" t="e">
        <f t="shared" si="74"/>
        <v>#DIV/0!</v>
      </c>
      <c r="BB64" s="1">
        <f t="shared" si="82"/>
        <v>0.996380161232575</v>
      </c>
      <c r="BC64" s="1">
        <f t="shared" si="83"/>
        <v>0.99619042111999578</v>
      </c>
      <c r="BD64" s="1">
        <f t="shared" si="84"/>
        <v>0.96907531209204967</v>
      </c>
      <c r="BE64" s="1">
        <f t="shared" si="85"/>
        <v>1</v>
      </c>
      <c r="BF64" s="1" t="e">
        <f t="shared" si="86"/>
        <v>#DIV/0!</v>
      </c>
      <c r="BG64" s="1"/>
      <c r="BH64" s="1"/>
      <c r="BI64" s="1"/>
      <c r="BJ64" s="1"/>
      <c r="BK64" s="1"/>
      <c r="BQ64">
        <v>52.5</v>
      </c>
      <c r="BR64" s="1">
        <f t="shared" si="75"/>
        <v>0</v>
      </c>
      <c r="BS64" t="e">
        <f t="shared" si="76"/>
        <v>#NUM!</v>
      </c>
      <c r="BT64">
        <f t="shared" si="77"/>
        <v>2756.25</v>
      </c>
      <c r="BU64">
        <f t="shared" si="78"/>
        <v>52.5</v>
      </c>
      <c r="BV64" s="1">
        <f t="shared" si="79"/>
        <v>7.245688373094719</v>
      </c>
      <c r="BW64" s="1">
        <f t="shared" si="80"/>
        <v>5.1088707838111973E-5</v>
      </c>
      <c r="BX64" s="1">
        <f t="shared" si="81"/>
        <v>5.3504936014660997E-5</v>
      </c>
      <c r="CF64">
        <v>50</v>
      </c>
      <c r="CG64">
        <v>55</v>
      </c>
      <c r="CH64">
        <v>13968</v>
      </c>
      <c r="CI64">
        <v>7.9000000000000008E-3</v>
      </c>
      <c r="CJ64">
        <v>1746596</v>
      </c>
      <c r="CK64">
        <v>0.99309999999999998</v>
      </c>
    </row>
    <row r="65" spans="1:89" x14ac:dyDescent="0.2">
      <c r="A65">
        <v>57.5</v>
      </c>
      <c r="B65">
        <v>7285</v>
      </c>
      <c r="C65">
        <v>10978</v>
      </c>
      <c r="D65">
        <v>3080</v>
      </c>
      <c r="E65">
        <v>0</v>
      </c>
      <c r="F65">
        <f t="shared" si="64"/>
        <v>21343</v>
      </c>
      <c r="H65">
        <v>23</v>
      </c>
      <c r="Q65">
        <v>23</v>
      </c>
      <c r="R65" s="2">
        <f t="shared" si="65"/>
        <v>316.73913043478262</v>
      </c>
      <c r="S65" s="2">
        <f t="shared" si="66"/>
        <v>477.30434782608694</v>
      </c>
      <c r="T65" s="2">
        <f t="shared" si="67"/>
        <v>133.91304347826087</v>
      </c>
      <c r="U65" s="2">
        <f t="shared" si="68"/>
        <v>0</v>
      </c>
      <c r="V65" s="2">
        <f t="shared" si="69"/>
        <v>927.95652173913038</v>
      </c>
      <c r="AJ65">
        <v>55</v>
      </c>
      <c r="AK65" s="1">
        <f t="shared" si="70"/>
        <v>1.8854916811290891E-3</v>
      </c>
      <c r="AL65" s="1">
        <f t="shared" si="71"/>
        <v>1.8050518094197986E-3</v>
      </c>
      <c r="AM65" s="1">
        <f t="shared" si="72"/>
        <v>1.4257096410547837E-2</v>
      </c>
      <c r="AN65" s="1">
        <f t="shared" si="73"/>
        <v>0</v>
      </c>
      <c r="AO65" s="1" t="e">
        <f t="shared" si="74"/>
        <v>#DIV/0!</v>
      </c>
      <c r="BB65" s="1">
        <f t="shared" si="82"/>
        <v>0.99826565291370406</v>
      </c>
      <c r="BC65" s="1">
        <f t="shared" si="83"/>
        <v>0.99799547292941559</v>
      </c>
      <c r="BD65" s="1">
        <f t="shared" si="84"/>
        <v>0.98333240850259751</v>
      </c>
      <c r="BE65" s="1">
        <f t="shared" si="85"/>
        <v>1</v>
      </c>
      <c r="BF65" s="1" t="e">
        <f t="shared" si="86"/>
        <v>#DIV/0!</v>
      </c>
      <c r="BG65" s="1"/>
      <c r="BH65" s="1"/>
      <c r="BI65" s="1"/>
      <c r="BJ65" s="1"/>
      <c r="BK65" s="1"/>
      <c r="BQ65">
        <v>57.5</v>
      </c>
      <c r="BR65" s="1">
        <f t="shared" si="75"/>
        <v>0</v>
      </c>
      <c r="BS65" t="e">
        <f t="shared" si="76"/>
        <v>#NUM!</v>
      </c>
      <c r="BT65">
        <f t="shared" si="77"/>
        <v>3306.25</v>
      </c>
      <c r="BU65">
        <f t="shared" si="78"/>
        <v>57.5</v>
      </c>
      <c r="BV65" s="1">
        <f t="shared" si="79"/>
        <v>7.5828754440515507</v>
      </c>
      <c r="BW65" s="1">
        <f t="shared" si="80"/>
        <v>2.0290372954038733E-5</v>
      </c>
      <c r="BX65" s="1">
        <f t="shared" si="81"/>
        <v>2.125000127346284E-5</v>
      </c>
      <c r="CF65">
        <v>55</v>
      </c>
      <c r="CG65">
        <v>60</v>
      </c>
      <c r="CH65">
        <v>9069.2530000000006</v>
      </c>
      <c r="CI65">
        <v>5.2000000000000006E-3</v>
      </c>
      <c r="CJ65">
        <v>1755666</v>
      </c>
      <c r="CK65">
        <v>0.99829999999999997</v>
      </c>
    </row>
    <row r="66" spans="1:89" x14ac:dyDescent="0.2">
      <c r="A66">
        <v>62.5</v>
      </c>
      <c r="B66">
        <v>2108</v>
      </c>
      <c r="C66">
        <v>1882</v>
      </c>
      <c r="D66">
        <v>776</v>
      </c>
      <c r="E66">
        <v>0</v>
      </c>
      <c r="F66">
        <f t="shared" si="64"/>
        <v>4766</v>
      </c>
      <c r="H66">
        <v>25</v>
      </c>
      <c r="Q66">
        <v>25</v>
      </c>
      <c r="R66" s="2">
        <f t="shared" si="65"/>
        <v>84.32</v>
      </c>
      <c r="S66" s="2">
        <f t="shared" si="66"/>
        <v>75.28</v>
      </c>
      <c r="T66" s="2">
        <f t="shared" si="67"/>
        <v>31.04</v>
      </c>
      <c r="U66" s="2">
        <f t="shared" si="68"/>
        <v>0</v>
      </c>
      <c r="V66" s="2">
        <f t="shared" si="69"/>
        <v>190.64</v>
      </c>
      <c r="AJ66">
        <v>60</v>
      </c>
      <c r="AK66" s="1">
        <f t="shared" si="70"/>
        <v>5.0194195562313108E-4</v>
      </c>
      <c r="AL66" s="1">
        <f t="shared" si="71"/>
        <v>2.8469110082909605E-4</v>
      </c>
      <c r="AM66" s="1">
        <f t="shared" si="72"/>
        <v>3.3046838537072439E-3</v>
      </c>
      <c r="AN66" s="1">
        <f t="shared" si="73"/>
        <v>0</v>
      </c>
      <c r="AO66" s="1" t="e">
        <f t="shared" si="74"/>
        <v>#DIV/0!</v>
      </c>
      <c r="BB66" s="1">
        <f t="shared" si="82"/>
        <v>0.9987675948693272</v>
      </c>
      <c r="BC66" s="1">
        <f t="shared" si="83"/>
        <v>0.99828016403024467</v>
      </c>
      <c r="BD66" s="1">
        <f t="shared" si="84"/>
        <v>0.9866370923563047</v>
      </c>
      <c r="BE66" s="1">
        <f t="shared" si="85"/>
        <v>1</v>
      </c>
      <c r="BF66" s="1" t="e">
        <f t="shared" si="86"/>
        <v>#DIV/0!</v>
      </c>
      <c r="BG66" s="1"/>
      <c r="BH66" s="1"/>
      <c r="BI66" s="1"/>
      <c r="BJ66" s="1"/>
      <c r="BK66" s="1"/>
      <c r="BQ66">
        <v>62.5</v>
      </c>
      <c r="BR66" s="1">
        <f t="shared" si="75"/>
        <v>0</v>
      </c>
      <c r="BS66" t="e">
        <f t="shared" si="76"/>
        <v>#NUM!</v>
      </c>
      <c r="BT66">
        <f t="shared" si="77"/>
        <v>3906.25</v>
      </c>
      <c r="BU66">
        <f t="shared" si="78"/>
        <v>62.5</v>
      </c>
      <c r="BV66" s="1">
        <f t="shared" si="79"/>
        <v>7.9056941504209481</v>
      </c>
      <c r="BW66" s="1">
        <f t="shared" si="80"/>
        <v>8.0585172738869014E-6</v>
      </c>
      <c r="BX66" s="1">
        <f t="shared" si="81"/>
        <v>8.4396429144114616E-6</v>
      </c>
      <c r="CF66">
        <v>60</v>
      </c>
      <c r="CG66">
        <v>65</v>
      </c>
      <c r="CH66">
        <v>1993.559</v>
      </c>
      <c r="CI66">
        <v>1.1000000000000001E-3</v>
      </c>
      <c r="CJ66">
        <v>1757659</v>
      </c>
      <c r="CK66">
        <v>0.99939999999999996</v>
      </c>
    </row>
    <row r="67" spans="1:89" x14ac:dyDescent="0.2">
      <c r="A67">
        <v>67.5</v>
      </c>
      <c r="B67">
        <v>906</v>
      </c>
      <c r="C67">
        <v>3359</v>
      </c>
      <c r="D67">
        <v>1555</v>
      </c>
      <c r="E67">
        <v>0</v>
      </c>
      <c r="F67">
        <f t="shared" si="64"/>
        <v>5820</v>
      </c>
      <c r="H67">
        <v>27</v>
      </c>
      <c r="Q67">
        <v>27</v>
      </c>
      <c r="R67" s="2">
        <f t="shared" si="65"/>
        <v>33.555555555555557</v>
      </c>
      <c r="S67" s="2">
        <f t="shared" si="66"/>
        <v>124.4074074074074</v>
      </c>
      <c r="T67" s="2">
        <f t="shared" si="67"/>
        <v>57.592592592592595</v>
      </c>
      <c r="U67" s="2">
        <f t="shared" si="68"/>
        <v>0</v>
      </c>
      <c r="V67" s="2">
        <f t="shared" si="69"/>
        <v>215.55555555555554</v>
      </c>
      <c r="AJ67">
        <v>65</v>
      </c>
      <c r="AK67" s="1">
        <f t="shared" si="70"/>
        <v>1.9975025115721273E-4</v>
      </c>
      <c r="AL67" s="1">
        <f t="shared" si="71"/>
        <v>4.7047930082503523E-4</v>
      </c>
      <c r="AM67" s="1">
        <f t="shared" si="72"/>
        <v>6.1316143954213975E-3</v>
      </c>
      <c r="AN67" s="1">
        <f t="shared" si="73"/>
        <v>0</v>
      </c>
      <c r="AO67" s="1" t="e">
        <f t="shared" si="74"/>
        <v>#DIV/0!</v>
      </c>
      <c r="BB67" s="1">
        <f t="shared" si="82"/>
        <v>0.99896734512048446</v>
      </c>
      <c r="BC67" s="1">
        <f t="shared" si="83"/>
        <v>0.99875064333106967</v>
      </c>
      <c r="BD67" s="1">
        <f t="shared" si="84"/>
        <v>0.99276870675172613</v>
      </c>
      <c r="BE67" s="1">
        <f t="shared" si="85"/>
        <v>1</v>
      </c>
      <c r="BF67" s="1" t="e">
        <f t="shared" si="86"/>
        <v>#DIV/0!</v>
      </c>
      <c r="BG67" s="1"/>
      <c r="BH67" s="1"/>
      <c r="BI67" s="1"/>
      <c r="BJ67" s="1"/>
      <c r="BK67" s="1"/>
      <c r="BQ67">
        <v>67.5</v>
      </c>
      <c r="BR67" s="1">
        <f t="shared" si="75"/>
        <v>0</v>
      </c>
      <c r="BS67" t="e">
        <f t="shared" si="76"/>
        <v>#NUM!</v>
      </c>
      <c r="BT67">
        <f t="shared" si="77"/>
        <v>4556.25</v>
      </c>
      <c r="BU67">
        <f t="shared" si="78"/>
        <v>67.5</v>
      </c>
      <c r="BV67" s="1">
        <f t="shared" si="79"/>
        <v>8.2158383625774913</v>
      </c>
      <c r="BW67" s="1">
        <f t="shared" si="80"/>
        <v>3.2005178416697082E-6</v>
      </c>
      <c r="BX67" s="1">
        <f t="shared" si="81"/>
        <v>3.3518855649070005E-6</v>
      </c>
      <c r="CF67">
        <v>65</v>
      </c>
      <c r="CG67">
        <v>70</v>
      </c>
      <c r="CH67">
        <v>473.28969999999998</v>
      </c>
      <c r="CI67">
        <v>3.0000000000000003E-4</v>
      </c>
      <c r="CJ67">
        <v>1758132</v>
      </c>
      <c r="CK67">
        <v>0.99970000000000003</v>
      </c>
    </row>
    <row r="68" spans="1:89" x14ac:dyDescent="0.2">
      <c r="A68">
        <v>72.5</v>
      </c>
      <c r="B68">
        <v>1857</v>
      </c>
      <c r="C68">
        <v>4336</v>
      </c>
      <c r="D68">
        <v>1122</v>
      </c>
      <c r="E68">
        <v>0</v>
      </c>
      <c r="F68">
        <f t="shared" si="64"/>
        <v>7315</v>
      </c>
      <c r="H68">
        <v>29</v>
      </c>
      <c r="Q68">
        <v>29</v>
      </c>
      <c r="R68" s="2">
        <f t="shared" si="65"/>
        <v>64.034482758620683</v>
      </c>
      <c r="S68" s="2">
        <f t="shared" si="66"/>
        <v>149.51724137931035</v>
      </c>
      <c r="T68" s="2">
        <f t="shared" si="67"/>
        <v>38.689655172413794</v>
      </c>
      <c r="U68" s="2">
        <f t="shared" si="68"/>
        <v>0</v>
      </c>
      <c r="V68" s="2">
        <f t="shared" si="69"/>
        <v>252.24137931034483</v>
      </c>
      <c r="AJ68">
        <v>70</v>
      </c>
      <c r="AK68" s="1">
        <f t="shared" si="70"/>
        <v>3.8118588120466954E-4</v>
      </c>
      <c r="AL68" s="1">
        <f t="shared" si="71"/>
        <v>5.6543873593524886E-4</v>
      </c>
      <c r="AM68" s="1">
        <f t="shared" si="72"/>
        <v>4.1191069186139444E-3</v>
      </c>
      <c r="AN68" s="1">
        <f t="shared" si="73"/>
        <v>0</v>
      </c>
      <c r="AO68" s="1" t="e">
        <f t="shared" si="74"/>
        <v>#DIV/0!</v>
      </c>
      <c r="BB68" s="1">
        <f t="shared" si="82"/>
        <v>0.99934853100168908</v>
      </c>
      <c r="BC68" s="1">
        <f t="shared" si="83"/>
        <v>0.99931608206700495</v>
      </c>
      <c r="BD68" s="1">
        <f t="shared" si="84"/>
        <v>0.99688781367034007</v>
      </c>
      <c r="BE68" s="1">
        <f t="shared" si="85"/>
        <v>1</v>
      </c>
      <c r="BF68" s="1" t="e">
        <f t="shared" si="86"/>
        <v>#DIV/0!</v>
      </c>
      <c r="BG68" s="1"/>
      <c r="BH68" s="1"/>
      <c r="BI68" s="1"/>
      <c r="BJ68" s="1"/>
      <c r="BK68" s="1"/>
      <c r="BQ68">
        <v>72.5</v>
      </c>
      <c r="BR68" s="1">
        <f t="shared" si="75"/>
        <v>0</v>
      </c>
      <c r="BS68" t="e">
        <f t="shared" si="76"/>
        <v>#NUM!</v>
      </c>
      <c r="BT68">
        <f t="shared" si="77"/>
        <v>5256.25</v>
      </c>
      <c r="BU68">
        <f t="shared" si="78"/>
        <v>72.5</v>
      </c>
      <c r="BV68" s="1">
        <f t="shared" si="79"/>
        <v>8.5146931829632013</v>
      </c>
      <c r="BW68" s="1">
        <f t="shared" si="80"/>
        <v>1.2711165226435557E-6</v>
      </c>
      <c r="BX68" s="1">
        <f t="shared" si="81"/>
        <v>1.3312336735298262E-6</v>
      </c>
      <c r="CF68">
        <v>70</v>
      </c>
      <c r="CG68">
        <v>75</v>
      </c>
      <c r="CH68">
        <v>221.31139999999999</v>
      </c>
      <c r="CI68">
        <v>1E-4</v>
      </c>
      <c r="CJ68">
        <v>1758354</v>
      </c>
      <c r="CK68">
        <v>0.99980000000000002</v>
      </c>
    </row>
    <row r="69" spans="1:89" x14ac:dyDescent="0.2">
      <c r="A69">
        <v>77.5</v>
      </c>
      <c r="B69">
        <v>1262</v>
      </c>
      <c r="C69">
        <v>2575</v>
      </c>
      <c r="D69">
        <v>418</v>
      </c>
      <c r="E69">
        <v>0</v>
      </c>
      <c r="F69">
        <f t="shared" si="64"/>
        <v>4255</v>
      </c>
      <c r="H69">
        <v>31</v>
      </c>
      <c r="Q69">
        <v>31</v>
      </c>
      <c r="R69" s="2">
        <f t="shared" si="65"/>
        <v>40.70967741935484</v>
      </c>
      <c r="S69" s="2">
        <f t="shared" si="66"/>
        <v>83.064516129032256</v>
      </c>
      <c r="T69" s="2">
        <f t="shared" si="67"/>
        <v>13.483870967741936</v>
      </c>
      <c r="U69" s="2">
        <f t="shared" si="68"/>
        <v>0</v>
      </c>
      <c r="V69" s="2">
        <f t="shared" si="69"/>
        <v>137.25806451612902</v>
      </c>
      <c r="AJ69">
        <v>75</v>
      </c>
      <c r="AK69" s="1">
        <f t="shared" si="70"/>
        <v>2.4233746556757342E-4</v>
      </c>
      <c r="AL69" s="1">
        <f t="shared" si="71"/>
        <v>3.1413029405699249E-4</v>
      </c>
      <c r="AM69" s="1">
        <f t="shared" si="72"/>
        <v>1.4355647768224435E-3</v>
      </c>
      <c r="AN69" s="1">
        <f t="shared" si="73"/>
        <v>0</v>
      </c>
      <c r="AO69" s="1" t="e">
        <f t="shared" si="74"/>
        <v>#DIV/0!</v>
      </c>
      <c r="BB69" s="1">
        <f t="shared" si="82"/>
        <v>0.99959086846725664</v>
      </c>
      <c r="BC69" s="1">
        <f t="shared" si="83"/>
        <v>0.99963021236106198</v>
      </c>
      <c r="BD69" s="1">
        <f t="shared" si="84"/>
        <v>0.99832337844716257</v>
      </c>
      <c r="BE69" s="1">
        <f t="shared" si="85"/>
        <v>1</v>
      </c>
      <c r="BF69" s="1" t="e">
        <f t="shared" si="86"/>
        <v>#DIV/0!</v>
      </c>
      <c r="BG69" s="1"/>
      <c r="BH69" s="1"/>
      <c r="BI69" s="1"/>
      <c r="BJ69" s="1"/>
      <c r="BK69" s="1"/>
      <c r="BQ69">
        <v>77.5</v>
      </c>
      <c r="BR69" s="1">
        <f t="shared" si="75"/>
        <v>0</v>
      </c>
      <c r="BS69" t="e">
        <f t="shared" si="76"/>
        <v>#NUM!</v>
      </c>
      <c r="BT69">
        <f t="shared" si="77"/>
        <v>6006.25</v>
      </c>
      <c r="BU69">
        <f t="shared" si="78"/>
        <v>77.5</v>
      </c>
      <c r="BV69" s="1">
        <f t="shared" si="79"/>
        <v>8.8034084308295046</v>
      </c>
      <c r="BW69" s="1">
        <f t="shared" si="80"/>
        <v>5.0483618403905329E-7</v>
      </c>
      <c r="BX69" s="1">
        <f t="shared" si="81"/>
        <v>5.287122902087749E-7</v>
      </c>
      <c r="CF69">
        <v>75</v>
      </c>
      <c r="CG69">
        <v>80</v>
      </c>
      <c r="CH69">
        <v>138.72900000000001</v>
      </c>
      <c r="CI69">
        <v>1E-4</v>
      </c>
      <c r="CJ69">
        <v>1758492</v>
      </c>
      <c r="CK69">
        <v>0.99990000000000001</v>
      </c>
    </row>
    <row r="70" spans="1:89" x14ac:dyDescent="0.2">
      <c r="A70">
        <v>82.5</v>
      </c>
      <c r="B70">
        <v>190</v>
      </c>
      <c r="C70">
        <v>534</v>
      </c>
      <c r="D70">
        <v>234</v>
      </c>
      <c r="E70">
        <v>0</v>
      </c>
      <c r="F70">
        <f t="shared" si="64"/>
        <v>958</v>
      </c>
      <c r="H70">
        <v>33</v>
      </c>
      <c r="Q70">
        <v>33</v>
      </c>
      <c r="R70" s="2">
        <f t="shared" si="65"/>
        <v>5.7575757575757578</v>
      </c>
      <c r="S70" s="2">
        <f t="shared" si="66"/>
        <v>16.181818181818183</v>
      </c>
      <c r="T70" s="2">
        <f t="shared" si="67"/>
        <v>7.0909090909090908</v>
      </c>
      <c r="U70" s="2">
        <f t="shared" si="68"/>
        <v>0</v>
      </c>
      <c r="V70" s="2">
        <f t="shared" si="69"/>
        <v>29.030303030303031</v>
      </c>
      <c r="AJ70">
        <v>80</v>
      </c>
      <c r="AK70" s="1">
        <f t="shared" si="70"/>
        <v>3.4273823949311037E-5</v>
      </c>
      <c r="AL70" s="1">
        <f t="shared" si="71"/>
        <v>6.1195797444183047E-5</v>
      </c>
      <c r="AM70" s="1">
        <f t="shared" si="72"/>
        <v>7.5493597876395572E-4</v>
      </c>
      <c r="AN70" s="1">
        <f t="shared" si="73"/>
        <v>0</v>
      </c>
      <c r="AO70" s="1" t="e">
        <f t="shared" si="74"/>
        <v>#DIV/0!</v>
      </c>
      <c r="BB70" s="1">
        <f t="shared" si="82"/>
        <v>0.99962514229120591</v>
      </c>
      <c r="BC70" s="1">
        <f t="shared" si="83"/>
        <v>0.99969140815850621</v>
      </c>
      <c r="BD70" s="1">
        <f t="shared" si="84"/>
        <v>0.99907831442592654</v>
      </c>
      <c r="BE70" s="1">
        <f t="shared" si="85"/>
        <v>1</v>
      </c>
      <c r="BF70" s="1" t="e">
        <f t="shared" si="86"/>
        <v>#DIV/0!</v>
      </c>
      <c r="BG70" s="1"/>
      <c r="BH70" s="1"/>
      <c r="BI70" s="1"/>
      <c r="BJ70" s="1"/>
      <c r="BK70" s="1"/>
      <c r="BQ70">
        <v>82.5</v>
      </c>
      <c r="BR70" s="1">
        <f t="shared" si="75"/>
        <v>0</v>
      </c>
      <c r="BS70" t="e">
        <f t="shared" si="76"/>
        <v>#NUM!</v>
      </c>
      <c r="BT70">
        <f t="shared" si="77"/>
        <v>6806.25</v>
      </c>
      <c r="BU70">
        <f t="shared" si="78"/>
        <v>82.5</v>
      </c>
      <c r="BV70" s="1">
        <f t="shared" si="79"/>
        <v>9.0829510622924747</v>
      </c>
      <c r="BW70" s="1">
        <f t="shared" si="80"/>
        <v>2.0050055850511559E-7</v>
      </c>
      <c r="BX70" s="1">
        <f t="shared" si="81"/>
        <v>2.0998318430197464E-7</v>
      </c>
      <c r="CF70">
        <v>80</v>
      </c>
      <c r="CG70">
        <v>85</v>
      </c>
      <c r="CH70">
        <v>69.480590000000007</v>
      </c>
      <c r="CI70">
        <v>0</v>
      </c>
      <c r="CJ70">
        <v>1758562</v>
      </c>
      <c r="CK70">
        <v>0.99990000000000001</v>
      </c>
    </row>
    <row r="71" spans="1:89" x14ac:dyDescent="0.2">
      <c r="A71">
        <v>87.5</v>
      </c>
      <c r="B71">
        <v>2204</v>
      </c>
      <c r="C71">
        <v>2856</v>
      </c>
      <c r="D71">
        <v>303</v>
      </c>
      <c r="E71">
        <v>0</v>
      </c>
      <c r="F71">
        <f t="shared" si="64"/>
        <v>5363</v>
      </c>
      <c r="H71">
        <v>35</v>
      </c>
      <c r="Q71">
        <v>35</v>
      </c>
      <c r="R71" s="2">
        <f t="shared" si="65"/>
        <v>62.971428571428568</v>
      </c>
      <c r="S71" s="2">
        <f t="shared" si="66"/>
        <v>81.599999999999994</v>
      </c>
      <c r="T71" s="2">
        <f t="shared" si="67"/>
        <v>8.6571428571428566</v>
      </c>
      <c r="U71" s="2">
        <f t="shared" si="68"/>
        <v>0</v>
      </c>
      <c r="V71" s="2">
        <f t="shared" si="69"/>
        <v>153.22857142857143</v>
      </c>
      <c r="AJ71">
        <v>85</v>
      </c>
      <c r="AK71" s="1">
        <f t="shared" si="70"/>
        <v>3.7485770879417893E-4</v>
      </c>
      <c r="AL71" s="1">
        <f t="shared" si="71"/>
        <v>3.0859184149381288E-4</v>
      </c>
      <c r="AM71" s="1">
        <f t="shared" si="72"/>
        <v>9.2168557407335688E-4</v>
      </c>
      <c r="AN71" s="1">
        <f t="shared" si="73"/>
        <v>0</v>
      </c>
      <c r="AO71" s="1" t="e">
        <f t="shared" si="74"/>
        <v>#DIV/0!</v>
      </c>
      <c r="BB71" s="1">
        <f t="shared" si="82"/>
        <v>1</v>
      </c>
      <c r="BC71" s="1">
        <f t="shared" si="83"/>
        <v>1</v>
      </c>
      <c r="BD71" s="1">
        <f t="shared" si="84"/>
        <v>0.99999999999999989</v>
      </c>
      <c r="BE71" s="1">
        <f t="shared" si="85"/>
        <v>1</v>
      </c>
      <c r="BF71" s="1" t="e">
        <f t="shared" si="86"/>
        <v>#DIV/0!</v>
      </c>
      <c r="BG71" s="1"/>
      <c r="BH71" s="1"/>
      <c r="BI71" s="1"/>
      <c r="BJ71" s="1"/>
      <c r="BK71" s="1"/>
      <c r="BQ71">
        <v>87.5</v>
      </c>
      <c r="BR71" s="1">
        <f t="shared" si="75"/>
        <v>0</v>
      </c>
      <c r="BS71" t="e">
        <f t="shared" si="76"/>
        <v>#NUM!</v>
      </c>
      <c r="BT71">
        <f t="shared" si="77"/>
        <v>7656.25</v>
      </c>
      <c r="BU71">
        <f t="shared" si="78"/>
        <v>87.5</v>
      </c>
      <c r="BV71" s="1">
        <f t="shared" si="79"/>
        <v>9.354143466934854</v>
      </c>
      <c r="BW71" s="1">
        <f t="shared" si="80"/>
        <v>7.9630730189010062E-8</v>
      </c>
      <c r="BX71" s="1">
        <f t="shared" si="81"/>
        <v>8.3396846462914424E-8</v>
      </c>
      <c r="CF71">
        <v>85</v>
      </c>
      <c r="CG71">
        <v>90</v>
      </c>
      <c r="CH71">
        <v>41.180999999999997</v>
      </c>
      <c r="CI71">
        <v>0</v>
      </c>
      <c r="CJ71">
        <v>1758603</v>
      </c>
      <c r="CK71">
        <v>0.99990000000000001</v>
      </c>
    </row>
    <row r="72" spans="1:89" x14ac:dyDescent="0.2">
      <c r="A72">
        <v>90</v>
      </c>
      <c r="B72">
        <v>720</v>
      </c>
      <c r="C72">
        <v>314</v>
      </c>
      <c r="D72">
        <v>469</v>
      </c>
      <c r="E72">
        <v>0</v>
      </c>
      <c r="F72">
        <f t="shared" si="64"/>
        <v>1503</v>
      </c>
      <c r="AJ72">
        <v>90</v>
      </c>
      <c r="AK72" s="1">
        <f t="shared" si="70"/>
        <v>0</v>
      </c>
      <c r="AL72" s="1">
        <f t="shared" si="71"/>
        <v>0</v>
      </c>
      <c r="AM72" s="1">
        <f t="shared" si="72"/>
        <v>0</v>
      </c>
      <c r="AN72" s="1">
        <f t="shared" si="73"/>
        <v>0</v>
      </c>
      <c r="AO72" s="1" t="e">
        <f t="shared" si="74"/>
        <v>#DIV/0!</v>
      </c>
      <c r="BQ72">
        <v>92.5</v>
      </c>
      <c r="BR72" s="1">
        <f t="shared" si="75"/>
        <v>0</v>
      </c>
      <c r="BS72" t="e">
        <f t="shared" si="76"/>
        <v>#NUM!</v>
      </c>
      <c r="BT72">
        <f t="shared" si="77"/>
        <v>8556.25</v>
      </c>
      <c r="BU72">
        <f t="shared" si="78"/>
        <v>92.5</v>
      </c>
      <c r="BV72" s="1">
        <f t="shared" si="79"/>
        <v>9.6176920308356717</v>
      </c>
      <c r="BW72" s="1">
        <f t="shared" si="80"/>
        <v>3.1626112354560452E-8</v>
      </c>
      <c r="BX72" s="1">
        <f t="shared" si="81"/>
        <v>3.3121861748495761E-8</v>
      </c>
      <c r="CF72">
        <v>90</v>
      </c>
      <c r="CG72">
        <v>95</v>
      </c>
      <c r="CH72">
        <v>26.070139999999999</v>
      </c>
      <c r="CI72">
        <v>0</v>
      </c>
      <c r="CJ72">
        <v>1758629</v>
      </c>
      <c r="CK72">
        <v>0.99990000000000001</v>
      </c>
    </row>
    <row r="73" spans="1:89" x14ac:dyDescent="0.2">
      <c r="BV73" s="1"/>
      <c r="BW73" s="1"/>
      <c r="BX73" s="1"/>
      <c r="CF73">
        <v>95</v>
      </c>
      <c r="CG73">
        <v>100</v>
      </c>
      <c r="CH73">
        <v>23.699580000000001</v>
      </c>
      <c r="CI73">
        <v>0</v>
      </c>
      <c r="CJ73">
        <v>1758653</v>
      </c>
      <c r="CK73">
        <v>0.99990000000000001</v>
      </c>
    </row>
    <row r="74" spans="1:89" x14ac:dyDescent="0.2">
      <c r="B74">
        <f>SUM(B54:B73)</f>
        <v>478364</v>
      </c>
      <c r="C74">
        <f>SUM(C54:C73)</f>
        <v>754637</v>
      </c>
      <c r="D74">
        <f>SUM(D54:D73)</f>
        <v>46722</v>
      </c>
      <c r="E74">
        <f>SUM(E54:E73)</f>
        <v>62065</v>
      </c>
      <c r="F74">
        <f>SUM(F54:F73)</f>
        <v>1341788</v>
      </c>
      <c r="R74">
        <f>SUM(R54:R73)</f>
        <v>167987.55126042757</v>
      </c>
      <c r="S74">
        <f>SUM(S54:S73)</f>
        <v>264426.95181115484</v>
      </c>
      <c r="T74">
        <f>SUM(T54:T73)</f>
        <v>9392.729039777545</v>
      </c>
      <c r="U74">
        <f>SUM(U54:U73)</f>
        <v>29705.838583638586</v>
      </c>
      <c r="AP74">
        <f>SUM(BR54:BR72)</f>
        <v>1</v>
      </c>
      <c r="BV74" s="1"/>
      <c r="BW74" s="1"/>
      <c r="BX74" s="1"/>
    </row>
    <row r="75" spans="1:89" x14ac:dyDescent="0.2">
      <c r="BV75" s="1"/>
      <c r="BW75" s="1"/>
      <c r="BX75" s="1"/>
    </row>
    <row r="76" spans="1:89" x14ac:dyDescent="0.2">
      <c r="BV76" s="1"/>
      <c r="BW76" s="1"/>
      <c r="BX76" s="1"/>
    </row>
    <row r="77" spans="1:89" x14ac:dyDescent="0.2">
      <c r="BV77" s="1"/>
      <c r="BW77" s="1"/>
      <c r="BX77" s="1"/>
    </row>
    <row r="78" spans="1:89" x14ac:dyDescent="0.2">
      <c r="BV78" s="1"/>
      <c r="BW78" s="1"/>
      <c r="BX78" s="1"/>
    </row>
    <row r="79" spans="1:89" x14ac:dyDescent="0.2">
      <c r="BV79" s="1"/>
      <c r="BW79" s="1"/>
      <c r="BX79" s="1"/>
    </row>
    <row r="80" spans="1:89" x14ac:dyDescent="0.2">
      <c r="BV80" s="1"/>
      <c r="BW80" s="1"/>
      <c r="BX80" s="1"/>
    </row>
    <row r="81" spans="74:76" x14ac:dyDescent="0.2">
      <c r="BV81" s="1"/>
      <c r="BW81" s="1"/>
      <c r="BX81" s="1"/>
    </row>
    <row r="82" spans="74:76" x14ac:dyDescent="0.2">
      <c r="BV82" s="1"/>
      <c r="BW82" s="1"/>
      <c r="BX82" s="1"/>
    </row>
    <row r="83" spans="74:76" x14ac:dyDescent="0.2">
      <c r="BV83" s="1"/>
      <c r="BW83" s="1"/>
      <c r="BX83" s="1"/>
    </row>
    <row r="84" spans="74:76" x14ac:dyDescent="0.2">
      <c r="BV84" s="1"/>
      <c r="BW84" s="1"/>
      <c r="BX84" s="1"/>
    </row>
    <row r="85" spans="74:76" x14ac:dyDescent="0.2">
      <c r="BV85" s="1"/>
      <c r="BW85" s="1"/>
      <c r="BX85" s="1"/>
    </row>
    <row r="86" spans="74:76" x14ac:dyDescent="0.2">
      <c r="BV86" s="1"/>
      <c r="BW86" s="1"/>
      <c r="BX86" s="1"/>
    </row>
    <row r="87" spans="74:76" x14ac:dyDescent="0.2">
      <c r="BV87" s="1"/>
      <c r="BW87" s="1"/>
      <c r="BX87" s="1"/>
    </row>
    <row r="88" spans="74:76" x14ac:dyDescent="0.2">
      <c r="BV88" s="1"/>
      <c r="BW88" s="1"/>
      <c r="BX88" s="1"/>
    </row>
    <row r="89" spans="74:76" x14ac:dyDescent="0.2">
      <c r="BV89" s="1"/>
      <c r="BW89" s="1"/>
      <c r="BX89" s="1"/>
    </row>
    <row r="90" spans="74:76" x14ac:dyDescent="0.2">
      <c r="BV90" s="1"/>
      <c r="BW90" s="1"/>
      <c r="BX90" s="1"/>
    </row>
    <row r="91" spans="74:76" x14ac:dyDescent="0.2">
      <c r="BV91" s="1"/>
      <c r="BW91" s="1"/>
      <c r="BX91" s="1"/>
    </row>
    <row r="92" spans="74:76" x14ac:dyDescent="0.2">
      <c r="BV92" s="1"/>
      <c r="BW92" s="1"/>
      <c r="BX92" s="1"/>
    </row>
    <row r="93" spans="74:76" x14ac:dyDescent="0.2">
      <c r="BV93" s="1"/>
      <c r="BW93" s="1"/>
      <c r="BX93" s="1"/>
    </row>
    <row r="94" spans="74:76" x14ac:dyDescent="0.2">
      <c r="BV94" s="1"/>
      <c r="BW94" s="1"/>
      <c r="BX94" s="1"/>
    </row>
    <row r="95" spans="74:76" x14ac:dyDescent="0.2">
      <c r="BV95" s="1"/>
      <c r="BW95" s="1"/>
      <c r="BX95" s="1"/>
    </row>
    <row r="96" spans="74:76" x14ac:dyDescent="0.2">
      <c r="BV96" s="1"/>
      <c r="BW96" s="1"/>
      <c r="BX96" s="1"/>
    </row>
    <row r="97" spans="1:81" x14ac:dyDescent="0.2">
      <c r="BV97" s="1"/>
      <c r="BW97" s="1"/>
      <c r="BX97" s="1"/>
    </row>
    <row r="98" spans="1:81" x14ac:dyDescent="0.2">
      <c r="BV98" s="1"/>
      <c r="BW98" s="1"/>
      <c r="BX98" s="1"/>
    </row>
    <row r="99" spans="1:81" x14ac:dyDescent="0.2">
      <c r="BV99" s="1"/>
      <c r="BW99" s="1"/>
      <c r="BX99" s="1"/>
    </row>
    <row r="100" spans="1:81" x14ac:dyDescent="0.2">
      <c r="BV100" s="1"/>
      <c r="BW100" s="1"/>
      <c r="BX100" s="1"/>
    </row>
    <row r="101" spans="1:81" x14ac:dyDescent="0.2">
      <c r="A101" t="s">
        <v>52</v>
      </c>
      <c r="BV101" s="1"/>
      <c r="BW101" s="1"/>
      <c r="BX101" s="1"/>
    </row>
    <row r="102" spans="1:81" x14ac:dyDescent="0.2">
      <c r="BV102" s="1"/>
      <c r="BW102" s="1"/>
      <c r="BX102" s="1"/>
    </row>
    <row r="103" spans="1:81" x14ac:dyDescent="0.2">
      <c r="BR103" s="1"/>
      <c r="BV103" s="1"/>
      <c r="BW103" s="1"/>
      <c r="BX103" s="1"/>
    </row>
    <row r="104" spans="1:81" x14ac:dyDescent="0.2">
      <c r="B104" t="s">
        <v>53</v>
      </c>
      <c r="C104" t="s">
        <v>54</v>
      </c>
      <c r="D104" t="s">
        <v>55</v>
      </c>
      <c r="E104" t="s">
        <v>56</v>
      </c>
      <c r="F104" t="s">
        <v>30</v>
      </c>
      <c r="AK104" t="s">
        <v>53</v>
      </c>
      <c r="AL104" t="s">
        <v>54</v>
      </c>
      <c r="AM104" t="s">
        <v>55</v>
      </c>
      <c r="AN104" t="s">
        <v>56</v>
      </c>
      <c r="BB104" t="s">
        <v>19</v>
      </c>
      <c r="BC104" t="s">
        <v>57</v>
      </c>
      <c r="BD104" t="s">
        <v>58</v>
      </c>
      <c r="BE104" t="s">
        <v>25</v>
      </c>
      <c r="BQ104" t="s">
        <v>34</v>
      </c>
      <c r="BR104" t="s">
        <v>35</v>
      </c>
      <c r="BS104" t="s">
        <v>36</v>
      </c>
      <c r="BT104" t="s">
        <v>37</v>
      </c>
      <c r="BU104" t="s">
        <v>34</v>
      </c>
      <c r="BV104" s="1" t="s">
        <v>38</v>
      </c>
      <c r="BW104" s="1" t="s">
        <v>39</v>
      </c>
      <c r="BX104" s="1"/>
      <c r="CA104" t="s">
        <v>1</v>
      </c>
    </row>
    <row r="105" spans="1:81" x14ac:dyDescent="0.2">
      <c r="A105">
        <v>2.5</v>
      </c>
      <c r="B105">
        <v>13709</v>
      </c>
      <c r="C105">
        <v>4094</v>
      </c>
      <c r="D105">
        <v>441</v>
      </c>
      <c r="E105">
        <v>1732</v>
      </c>
      <c r="F105">
        <f t="shared" ref="F105:F123" si="87">SUM(B105:E105)</f>
        <v>19976</v>
      </c>
      <c r="AJ105">
        <v>0</v>
      </c>
      <c r="AK105" s="1">
        <f t="shared" ref="AK105:AK123" si="88">B105/B$125</f>
        <v>6.8542943711688648E-2</v>
      </c>
      <c r="AL105" s="1">
        <f t="shared" ref="AL105:AL123" si="89">C105/C$125</f>
        <v>4.7846666277099284E-2</v>
      </c>
      <c r="AM105" s="1">
        <f t="shared" ref="AM105:AM123" si="90">D105/D$125</f>
        <v>1.8516963385959019E-2</v>
      </c>
      <c r="AN105" s="1">
        <f t="shared" ref="AN105:AN123" si="91">E105/E$125</f>
        <v>0.28030425635216055</v>
      </c>
      <c r="AO105" s="1">
        <f t="shared" ref="AO105:AO123" si="92">F105/F$125</f>
        <v>6.3302130140762941E-2</v>
      </c>
      <c r="BB105" s="1">
        <f>AK105</f>
        <v>6.8542943711688648E-2</v>
      </c>
      <c r="BC105" s="1">
        <f>AL105</f>
        <v>4.7846666277099284E-2</v>
      </c>
      <c r="BD105" s="1">
        <f>AM105</f>
        <v>1.8516963385959019E-2</v>
      </c>
      <c r="BE105" s="1">
        <f>AN105</f>
        <v>0.28030425635216055</v>
      </c>
      <c r="BF105" s="1">
        <f>AO105</f>
        <v>6.3302130140762941E-2</v>
      </c>
      <c r="BQ105">
        <v>2.5</v>
      </c>
      <c r="BR105" s="1">
        <f t="shared" ref="BR105:BR123" si="93">AO105</f>
        <v>6.3302130140762941E-2</v>
      </c>
      <c r="BS105">
        <f t="shared" ref="BS105:BS123" si="94">LN(BR105)</f>
        <v>-2.7598362988853635</v>
      </c>
      <c r="BT105">
        <f t="shared" ref="BT105:BT123" si="95">BU105*BU105</f>
        <v>6.25</v>
      </c>
      <c r="BU105">
        <f t="shared" ref="BU105:BU123" si="96">BQ105</f>
        <v>2.5</v>
      </c>
      <c r="BV105" s="1">
        <f t="shared" ref="BV105:BV123" si="97">SQRT(BQ105)</f>
        <v>1.5811388300841898</v>
      </c>
      <c r="BW105" s="1">
        <f t="shared" ref="BW105:BW123" si="98">EXP(+$CC$105+0*$CB$111*BT105+$CB$111*BU105+$CC$111*BV105)</f>
        <v>7.9156438437550769E-2</v>
      </c>
      <c r="BX105" s="1">
        <f t="shared" ref="BX105:BX123" si="99">BW105/$BW$26</f>
        <v>8.2900123196893993E-2</v>
      </c>
      <c r="BZ105" t="s">
        <v>2</v>
      </c>
      <c r="CC105">
        <v>-3.4630490455718221</v>
      </c>
    </row>
    <row r="106" spans="1:81" x14ac:dyDescent="0.2">
      <c r="A106">
        <v>7.5</v>
      </c>
      <c r="B106">
        <v>28549</v>
      </c>
      <c r="C106">
        <v>11692</v>
      </c>
      <c r="D106">
        <v>1922</v>
      </c>
      <c r="E106">
        <v>1684</v>
      </c>
      <c r="F106">
        <f t="shared" si="87"/>
        <v>43847</v>
      </c>
      <c r="AJ106">
        <v>5</v>
      </c>
      <c r="AK106" s="1">
        <f t="shared" si="88"/>
        <v>0.14274071777846664</v>
      </c>
      <c r="AL106" s="1">
        <f t="shared" si="89"/>
        <v>0.13664465610939053</v>
      </c>
      <c r="AM106" s="1">
        <f t="shared" si="90"/>
        <v>8.0702049042660401E-2</v>
      </c>
      <c r="AN106" s="1">
        <f t="shared" si="91"/>
        <v>0.27253600906295516</v>
      </c>
      <c r="AO106" s="1">
        <f t="shared" si="92"/>
        <v>0.13894716160803128</v>
      </c>
      <c r="BB106" s="1">
        <f t="shared" ref="BB106:BB122" si="100">AK106+BB105</f>
        <v>0.21128366149015529</v>
      </c>
      <c r="BC106" s="1">
        <f t="shared" ref="BC106:BC122" si="101">AL106+BC105</f>
        <v>0.1844913223864898</v>
      </c>
      <c r="BD106" s="1">
        <f t="shared" ref="BD106:BD122" si="102">AM106+BD105</f>
        <v>9.9219012428619413E-2</v>
      </c>
      <c r="BE106" s="1">
        <f t="shared" ref="BE106:BE122" si="103">AN106+BE105</f>
        <v>0.55284026541511566</v>
      </c>
      <c r="BF106" s="1">
        <f t="shared" ref="BF106:BF122" si="104">AO106+BF105</f>
        <v>0.20224929174879422</v>
      </c>
      <c r="BQ106">
        <v>7.5</v>
      </c>
      <c r="BR106" s="1">
        <f t="shared" si="93"/>
        <v>0.13894716160803128</v>
      </c>
      <c r="BS106">
        <f t="shared" si="94"/>
        <v>-1.973661550436371</v>
      </c>
      <c r="BT106">
        <f t="shared" si="95"/>
        <v>56.25</v>
      </c>
      <c r="BU106">
        <f t="shared" si="96"/>
        <v>7.5</v>
      </c>
      <c r="BV106" s="1">
        <f t="shared" si="97"/>
        <v>2.7386127875258306</v>
      </c>
      <c r="BW106" s="1">
        <f t="shared" si="98"/>
        <v>0.11177002637248795</v>
      </c>
      <c r="BX106" s="1">
        <f t="shared" si="99"/>
        <v>0.11705616294635854</v>
      </c>
      <c r="BZ106" t="s">
        <v>5</v>
      </c>
      <c r="CC106">
        <v>0.33076601539368339</v>
      </c>
    </row>
    <row r="107" spans="1:81" x14ac:dyDescent="0.2">
      <c r="A107">
        <v>12.5</v>
      </c>
      <c r="B107">
        <v>33105</v>
      </c>
      <c r="C107">
        <v>11953</v>
      </c>
      <c r="D107">
        <v>3199</v>
      </c>
      <c r="E107">
        <v>1384</v>
      </c>
      <c r="F107">
        <f t="shared" si="87"/>
        <v>49641</v>
      </c>
      <c r="AJ107">
        <v>10</v>
      </c>
      <c r="AK107" s="1">
        <f t="shared" si="88"/>
        <v>0.16552003439896804</v>
      </c>
      <c r="AL107" s="1">
        <f t="shared" si="89"/>
        <v>0.13969496873721732</v>
      </c>
      <c r="AM107" s="1">
        <f t="shared" si="90"/>
        <v>0.13432146456163924</v>
      </c>
      <c r="AN107" s="1">
        <f t="shared" si="91"/>
        <v>0.22398446350542159</v>
      </c>
      <c r="AO107" s="1">
        <f t="shared" si="92"/>
        <v>0.15730782150168268</v>
      </c>
      <c r="BB107" s="1">
        <f t="shared" si="100"/>
        <v>0.37680369588912332</v>
      </c>
      <c r="BC107" s="1">
        <f t="shared" si="101"/>
        <v>0.32418629112370712</v>
      </c>
      <c r="BD107" s="1">
        <f t="shared" si="102"/>
        <v>0.23354047699025865</v>
      </c>
      <c r="BE107" s="1">
        <f t="shared" si="103"/>
        <v>0.77682472892053722</v>
      </c>
      <c r="BF107" s="1">
        <f t="shared" si="104"/>
        <v>0.3595571132504769</v>
      </c>
      <c r="BQ107">
        <v>12.5</v>
      </c>
      <c r="BR107" s="1">
        <f t="shared" si="93"/>
        <v>0.15730782150168268</v>
      </c>
      <c r="BS107">
        <f t="shared" si="94"/>
        <v>-1.8495507466850185</v>
      </c>
      <c r="BT107">
        <f t="shared" si="95"/>
        <v>156.25</v>
      </c>
      <c r="BU107">
        <f t="shared" si="96"/>
        <v>12.5</v>
      </c>
      <c r="BV107" s="1">
        <f t="shared" si="97"/>
        <v>3.5355339059327378</v>
      </c>
      <c r="BW107" s="1">
        <f t="shared" si="98"/>
        <v>0.12032293974067303</v>
      </c>
      <c r="BX107" s="1">
        <f t="shared" si="99"/>
        <v>0.12601358429969908</v>
      </c>
      <c r="BZ107" t="s">
        <v>8</v>
      </c>
      <c r="CC107">
        <v>0.94352097708428506</v>
      </c>
    </row>
    <row r="108" spans="1:81" x14ac:dyDescent="0.2">
      <c r="A108">
        <v>17.5</v>
      </c>
      <c r="B108">
        <v>26314</v>
      </c>
      <c r="C108">
        <v>10380</v>
      </c>
      <c r="D108">
        <v>1429</v>
      </c>
      <c r="E108">
        <v>623</v>
      </c>
      <c r="F108">
        <f t="shared" si="87"/>
        <v>38746</v>
      </c>
      <c r="AJ108">
        <v>15</v>
      </c>
      <c r="AK108" s="1">
        <f t="shared" si="88"/>
        <v>0.13156605301840946</v>
      </c>
      <c r="AL108" s="1">
        <f t="shared" si="89"/>
        <v>0.12131128381931865</v>
      </c>
      <c r="AM108" s="1">
        <f t="shared" si="90"/>
        <v>6.0001679543164259E-2</v>
      </c>
      <c r="AN108" s="1">
        <f t="shared" si="91"/>
        <v>0.10082537627447807</v>
      </c>
      <c r="AO108" s="1">
        <f t="shared" si="92"/>
        <v>0.12278255578864643</v>
      </c>
      <c r="BB108" s="1">
        <f t="shared" si="100"/>
        <v>0.50836974890753273</v>
      </c>
      <c r="BC108" s="1">
        <f t="shared" si="101"/>
        <v>0.44549757494302578</v>
      </c>
      <c r="BD108" s="1">
        <f t="shared" si="102"/>
        <v>0.29354215653342292</v>
      </c>
      <c r="BE108" s="1">
        <f t="shared" si="103"/>
        <v>0.8776501051950153</v>
      </c>
      <c r="BF108" s="1">
        <f t="shared" si="104"/>
        <v>0.48233966903912334</v>
      </c>
      <c r="BQ108">
        <v>17.5</v>
      </c>
      <c r="BR108" s="1">
        <f t="shared" si="93"/>
        <v>0.12278255578864643</v>
      </c>
      <c r="BS108">
        <f t="shared" si="94"/>
        <v>-2.0973403271980811</v>
      </c>
      <c r="BT108">
        <f t="shared" si="95"/>
        <v>306.25</v>
      </c>
      <c r="BU108">
        <f t="shared" si="96"/>
        <v>17.5</v>
      </c>
      <c r="BV108" s="1">
        <f t="shared" si="97"/>
        <v>4.1833001326703778</v>
      </c>
      <c r="BW108" s="1">
        <f t="shared" si="98"/>
        <v>0.1157798347401328</v>
      </c>
      <c r="BX108" s="1">
        <f t="shared" si="99"/>
        <v>0.12125561423844701</v>
      </c>
      <c r="BZ108" t="s">
        <v>16</v>
      </c>
      <c r="CC108">
        <v>19</v>
      </c>
    </row>
    <row r="109" spans="1:81" x14ac:dyDescent="0.2">
      <c r="A109">
        <v>22.5</v>
      </c>
      <c r="B109">
        <v>13826</v>
      </c>
      <c r="C109">
        <v>4836</v>
      </c>
      <c r="D109">
        <v>2733</v>
      </c>
      <c r="E109">
        <v>345</v>
      </c>
      <c r="F109">
        <f t="shared" si="87"/>
        <v>21740</v>
      </c>
      <c r="AJ109">
        <v>20</v>
      </c>
      <c r="AK109" s="1">
        <f t="shared" si="88"/>
        <v>6.9127926162215136E-2</v>
      </c>
      <c r="AL109" s="1">
        <f t="shared" si="89"/>
        <v>5.6518436276514927E-2</v>
      </c>
      <c r="AM109" s="1">
        <f t="shared" si="90"/>
        <v>0.11475478669801814</v>
      </c>
      <c r="AN109" s="1">
        <f t="shared" si="91"/>
        <v>5.5834277391163617E-2</v>
      </c>
      <c r="AO109" s="1">
        <f t="shared" si="92"/>
        <v>6.889208596616872E-2</v>
      </c>
      <c r="BB109" s="1">
        <f t="shared" si="100"/>
        <v>0.57749767506974781</v>
      </c>
      <c r="BC109" s="1">
        <f t="shared" si="101"/>
        <v>0.50201601121954065</v>
      </c>
      <c r="BD109" s="1">
        <f t="shared" si="102"/>
        <v>0.40829694323144106</v>
      </c>
      <c r="BE109" s="1">
        <f t="shared" si="103"/>
        <v>0.93348438258617894</v>
      </c>
      <c r="BF109" s="1">
        <f t="shared" si="104"/>
        <v>0.55123175500529209</v>
      </c>
      <c r="BQ109">
        <v>22.5</v>
      </c>
      <c r="BR109" s="1">
        <f t="shared" si="93"/>
        <v>6.889208596616872E-2</v>
      </c>
      <c r="BS109">
        <f t="shared" si="94"/>
        <v>-2.6752139701697719</v>
      </c>
      <c r="BT109">
        <f t="shared" si="95"/>
        <v>506.25</v>
      </c>
      <c r="BU109">
        <f t="shared" si="96"/>
        <v>22.5</v>
      </c>
      <c r="BV109" s="1">
        <f t="shared" si="97"/>
        <v>4.7434164902525691</v>
      </c>
      <c r="BW109" s="1">
        <f t="shared" si="98"/>
        <v>0.10429812767836621</v>
      </c>
      <c r="BX109" s="1">
        <f t="shared" si="99"/>
        <v>0.10923088259666107</v>
      </c>
      <c r="BZ109" t="s">
        <v>41</v>
      </c>
      <c r="CC109">
        <v>16</v>
      </c>
    </row>
    <row r="110" spans="1:81" x14ac:dyDescent="0.2">
      <c r="A110">
        <v>27.5</v>
      </c>
      <c r="B110">
        <v>29061</v>
      </c>
      <c r="C110">
        <v>11732</v>
      </c>
      <c r="D110">
        <v>1395</v>
      </c>
      <c r="E110">
        <v>272</v>
      </c>
      <c r="F110">
        <f t="shared" si="87"/>
        <v>42460</v>
      </c>
      <c r="AJ110">
        <v>25</v>
      </c>
      <c r="AK110" s="1">
        <f t="shared" si="88"/>
        <v>0.14530064098077058</v>
      </c>
      <c r="AL110" s="1">
        <f t="shared" si="89"/>
        <v>0.1371121369718927</v>
      </c>
      <c r="AM110" s="1">
        <f t="shared" si="90"/>
        <v>5.8574067853543833E-2</v>
      </c>
      <c r="AN110" s="1">
        <f t="shared" si="91"/>
        <v>4.4020067972163783E-2</v>
      </c>
      <c r="AO110" s="1">
        <f t="shared" si="92"/>
        <v>0.13455188455030009</v>
      </c>
      <c r="BB110" s="1">
        <f t="shared" si="100"/>
        <v>0.72279831605051836</v>
      </c>
      <c r="BC110" s="1">
        <f t="shared" si="101"/>
        <v>0.63912814819143338</v>
      </c>
      <c r="BD110" s="1">
        <f t="shared" si="102"/>
        <v>0.46687101108498491</v>
      </c>
      <c r="BE110" s="1">
        <f t="shared" si="103"/>
        <v>0.97750445055834267</v>
      </c>
      <c r="BF110" s="1">
        <f t="shared" si="104"/>
        <v>0.68578363955559218</v>
      </c>
      <c r="BQ110">
        <v>27.5</v>
      </c>
      <c r="BR110" s="1">
        <f t="shared" si="93"/>
        <v>0.13455188455030009</v>
      </c>
      <c r="BS110">
        <f t="shared" si="94"/>
        <v>-2.0058053955877253</v>
      </c>
      <c r="BT110">
        <f t="shared" si="95"/>
        <v>756.25</v>
      </c>
      <c r="BU110">
        <f t="shared" si="96"/>
        <v>27.5</v>
      </c>
      <c r="BV110" s="1">
        <f t="shared" si="97"/>
        <v>5.2440442408507577</v>
      </c>
      <c r="BW110" s="1">
        <f t="shared" si="98"/>
        <v>8.9842392340545432E-2</v>
      </c>
      <c r="BX110" s="1">
        <f t="shared" si="99"/>
        <v>9.4091466725234746E-2</v>
      </c>
    </row>
    <row r="111" spans="1:81" x14ac:dyDescent="0.2">
      <c r="A111">
        <v>32.5</v>
      </c>
      <c r="B111">
        <v>11374</v>
      </c>
      <c r="C111">
        <v>6488</v>
      </c>
      <c r="D111">
        <v>1977</v>
      </c>
      <c r="E111">
        <v>139</v>
      </c>
      <c r="F111">
        <f t="shared" si="87"/>
        <v>19978</v>
      </c>
      <c r="AJ111">
        <v>30</v>
      </c>
      <c r="AK111" s="1">
        <f t="shared" si="88"/>
        <v>5.6868293951181467E-2</v>
      </c>
      <c r="AL111" s="1">
        <f t="shared" si="89"/>
        <v>7.5825395897855433E-2</v>
      </c>
      <c r="AM111" s="1">
        <f t="shared" si="90"/>
        <v>8.3011420893516957E-2</v>
      </c>
      <c r="AN111" s="1">
        <f t="shared" si="91"/>
        <v>2.2495549441657225E-2</v>
      </c>
      <c r="AO111" s="1">
        <f t="shared" si="92"/>
        <v>6.3308467959159093E-2</v>
      </c>
      <c r="BB111" s="1">
        <f t="shared" si="100"/>
        <v>0.77966661000169979</v>
      </c>
      <c r="BC111" s="1">
        <f t="shared" si="101"/>
        <v>0.71495354408928879</v>
      </c>
      <c r="BD111" s="1">
        <f t="shared" si="102"/>
        <v>0.54988243197850184</v>
      </c>
      <c r="BE111" s="1">
        <f t="shared" si="103"/>
        <v>0.99999999999999989</v>
      </c>
      <c r="BF111" s="1">
        <f t="shared" si="104"/>
        <v>0.7490921075147513</v>
      </c>
      <c r="BQ111">
        <v>32.5</v>
      </c>
      <c r="BR111" s="1">
        <f t="shared" si="93"/>
        <v>6.3308467959159093E-2</v>
      </c>
      <c r="BS111">
        <f t="shared" si="94"/>
        <v>-2.7597361837528775</v>
      </c>
      <c r="BT111">
        <f t="shared" si="95"/>
        <v>1056.25</v>
      </c>
      <c r="BU111">
        <f t="shared" si="96"/>
        <v>32.5</v>
      </c>
      <c r="BV111" s="1">
        <f t="shared" si="97"/>
        <v>5.7008771254956896</v>
      </c>
      <c r="BW111" s="1">
        <f t="shared" si="98"/>
        <v>7.488166230046947E-2</v>
      </c>
      <c r="BX111" s="1">
        <f t="shared" si="99"/>
        <v>7.8423172548302542E-2</v>
      </c>
      <c r="BZ111" t="s">
        <v>42</v>
      </c>
      <c r="CB111">
        <v>-0.10517416706481483</v>
      </c>
      <c r="CC111">
        <v>0.75240408330527542</v>
      </c>
    </row>
    <row r="112" spans="1:81" x14ac:dyDescent="0.2">
      <c r="A112">
        <v>37.5</v>
      </c>
      <c r="B112">
        <v>8977</v>
      </c>
      <c r="C112">
        <v>4774</v>
      </c>
      <c r="D112">
        <v>2697</v>
      </c>
      <c r="E112">
        <v>0</v>
      </c>
      <c r="F112">
        <f t="shared" si="87"/>
        <v>16448</v>
      </c>
      <c r="AJ112">
        <v>35</v>
      </c>
      <c r="AK112" s="1">
        <f t="shared" si="88"/>
        <v>4.4883653490395289E-2</v>
      </c>
      <c r="AL112" s="1">
        <f t="shared" si="89"/>
        <v>5.5793840939636533E-2</v>
      </c>
      <c r="AM112" s="1">
        <f t="shared" si="90"/>
        <v>0.11324319785018475</v>
      </c>
      <c r="AN112" s="1">
        <f t="shared" si="91"/>
        <v>0</v>
      </c>
      <c r="AO112" s="1">
        <f t="shared" si="92"/>
        <v>5.212221848995139E-2</v>
      </c>
      <c r="BB112" s="1">
        <f t="shared" si="100"/>
        <v>0.82455026349209504</v>
      </c>
      <c r="BC112" s="1">
        <f t="shared" si="101"/>
        <v>0.77074738502892537</v>
      </c>
      <c r="BD112" s="1">
        <f t="shared" si="102"/>
        <v>0.66312562982868661</v>
      </c>
      <c r="BE112" s="1">
        <f t="shared" si="103"/>
        <v>0.99999999999999989</v>
      </c>
      <c r="BF112" s="1">
        <f t="shared" si="104"/>
        <v>0.80121432600470266</v>
      </c>
      <c r="BQ112">
        <v>37.5</v>
      </c>
      <c r="BR112" s="1">
        <f t="shared" si="93"/>
        <v>5.212221848995139E-2</v>
      </c>
      <c r="BS112">
        <f t="shared" si="94"/>
        <v>-2.9541639625900808</v>
      </c>
      <c r="BT112">
        <f t="shared" si="95"/>
        <v>1406.25</v>
      </c>
      <c r="BU112">
        <f t="shared" si="96"/>
        <v>37.5</v>
      </c>
      <c r="BV112" s="1">
        <f t="shared" si="97"/>
        <v>6.1237243569579451</v>
      </c>
      <c r="BW112" s="1">
        <f t="shared" si="98"/>
        <v>6.083651471615252E-2</v>
      </c>
      <c r="BX112" s="1">
        <f t="shared" si="99"/>
        <v>6.371376307964606E-2</v>
      </c>
      <c r="BZ112" t="s">
        <v>43</v>
      </c>
      <c r="CB112">
        <v>1.4587789653433993E-2</v>
      </c>
      <c r="CC112">
        <v>0.17532998264451077</v>
      </c>
    </row>
    <row r="113" spans="1:81" x14ac:dyDescent="0.2">
      <c r="A113">
        <v>42.5</v>
      </c>
      <c r="B113">
        <v>11755</v>
      </c>
      <c r="C113">
        <v>4966</v>
      </c>
      <c r="D113">
        <v>545</v>
      </c>
      <c r="E113">
        <v>0</v>
      </c>
      <c r="F113">
        <f t="shared" si="87"/>
        <v>17266</v>
      </c>
      <c r="AJ113">
        <v>40</v>
      </c>
      <c r="AK113" s="1">
        <f t="shared" si="88"/>
        <v>5.8773236802895916E-2</v>
      </c>
      <c r="AL113" s="1">
        <f t="shared" si="89"/>
        <v>5.8037749079647052E-2</v>
      </c>
      <c r="AM113" s="1">
        <f t="shared" si="90"/>
        <v>2.2883775613033255E-2</v>
      </c>
      <c r="AN113" s="1">
        <f t="shared" si="91"/>
        <v>0</v>
      </c>
      <c r="AO113" s="1">
        <f t="shared" si="92"/>
        <v>5.4714386213977423E-2</v>
      </c>
      <c r="BB113" s="1">
        <f t="shared" si="100"/>
        <v>0.88332350029499096</v>
      </c>
      <c r="BC113" s="1">
        <f t="shared" si="101"/>
        <v>0.82878513410857246</v>
      </c>
      <c r="BD113" s="1">
        <f t="shared" si="102"/>
        <v>0.68600940544171984</v>
      </c>
      <c r="BE113" s="1">
        <f t="shared" si="103"/>
        <v>0.99999999999999989</v>
      </c>
      <c r="BF113" s="1">
        <f t="shared" si="104"/>
        <v>0.85592871221868005</v>
      </c>
      <c r="BQ113">
        <v>42.5</v>
      </c>
      <c r="BR113" s="1">
        <f t="shared" si="93"/>
        <v>5.4714386213977423E-2</v>
      </c>
      <c r="BS113">
        <f t="shared" si="94"/>
        <v>-2.9056286020495046</v>
      </c>
      <c r="BT113">
        <f t="shared" si="95"/>
        <v>1806.25</v>
      </c>
      <c r="BU113">
        <f t="shared" si="96"/>
        <v>42.5</v>
      </c>
      <c r="BV113" s="1">
        <f t="shared" si="97"/>
        <v>6.5192024052026492</v>
      </c>
      <c r="BW113" s="1">
        <f t="shared" si="98"/>
        <v>4.8418338797070144E-2</v>
      </c>
      <c r="BX113" s="1">
        <f t="shared" si="99"/>
        <v>5.070827251067845E-2</v>
      </c>
      <c r="CB113">
        <f>CB111/CB112</f>
        <v>-7.2097397593100503</v>
      </c>
      <c r="CC113">
        <f>CC111/CC112</f>
        <v>4.29136005124011</v>
      </c>
    </row>
    <row r="114" spans="1:81" x14ac:dyDescent="0.2">
      <c r="A114">
        <v>47.5</v>
      </c>
      <c r="B114">
        <v>4812</v>
      </c>
      <c r="C114">
        <v>2598</v>
      </c>
      <c r="D114">
        <v>602</v>
      </c>
      <c r="E114">
        <v>0</v>
      </c>
      <c r="F114">
        <f t="shared" si="87"/>
        <v>8012</v>
      </c>
      <c r="AJ114">
        <v>45</v>
      </c>
      <c r="AK114" s="1">
        <f t="shared" si="88"/>
        <v>2.4059278221653352E-2</v>
      </c>
      <c r="AL114" s="1">
        <f t="shared" si="89"/>
        <v>3.0362882019517326E-2</v>
      </c>
      <c r="AM114" s="1">
        <f t="shared" si="90"/>
        <v>2.5277124622102787E-2</v>
      </c>
      <c r="AN114" s="1">
        <f t="shared" si="91"/>
        <v>0</v>
      </c>
      <c r="AO114" s="1">
        <f t="shared" si="92"/>
        <v>2.5389300494983617E-2</v>
      </c>
      <c r="BB114" s="1">
        <f t="shared" si="100"/>
        <v>0.90738277851664428</v>
      </c>
      <c r="BC114" s="1">
        <f t="shared" si="101"/>
        <v>0.85914801612808978</v>
      </c>
      <c r="BD114" s="1">
        <f t="shared" si="102"/>
        <v>0.71128653006382259</v>
      </c>
      <c r="BE114" s="1">
        <f t="shared" si="103"/>
        <v>0.99999999999999989</v>
      </c>
      <c r="BF114" s="1">
        <f t="shared" si="104"/>
        <v>0.88131801271366372</v>
      </c>
      <c r="BQ114">
        <v>47.5</v>
      </c>
      <c r="BR114" s="1">
        <f t="shared" si="93"/>
        <v>2.5389300494983617E-2</v>
      </c>
      <c r="BS114">
        <f t="shared" si="94"/>
        <v>-3.6734274340592634</v>
      </c>
      <c r="BT114">
        <f t="shared" si="95"/>
        <v>2256.25</v>
      </c>
      <c r="BU114">
        <f t="shared" si="96"/>
        <v>47.5</v>
      </c>
      <c r="BV114" s="1">
        <f t="shared" si="97"/>
        <v>6.8920243760451108</v>
      </c>
      <c r="BW114" s="1">
        <f t="shared" si="98"/>
        <v>3.7883686368890418E-2</v>
      </c>
      <c r="BX114" s="1">
        <f t="shared" si="99"/>
        <v>3.9675386224093528E-2</v>
      </c>
    </row>
    <row r="115" spans="1:81" x14ac:dyDescent="0.2">
      <c r="A115">
        <v>52.5</v>
      </c>
      <c r="B115">
        <v>3677</v>
      </c>
      <c r="C115">
        <v>1936</v>
      </c>
      <c r="D115">
        <v>2594</v>
      </c>
      <c r="E115">
        <v>0</v>
      </c>
      <c r="F115">
        <f t="shared" si="87"/>
        <v>8207</v>
      </c>
      <c r="AJ115">
        <v>50</v>
      </c>
      <c r="AK115" s="1">
        <f t="shared" si="88"/>
        <v>1.8384448466546004E-2</v>
      </c>
      <c r="AL115" s="1">
        <f t="shared" si="89"/>
        <v>2.262607374510606E-2</v>
      </c>
      <c r="AM115" s="1">
        <f t="shared" si="90"/>
        <v>0.10891837420221699</v>
      </c>
      <c r="AN115" s="1">
        <f t="shared" si="91"/>
        <v>0</v>
      </c>
      <c r="AO115" s="1">
        <f t="shared" si="92"/>
        <v>2.6007237788608407E-2</v>
      </c>
      <c r="BB115" s="1">
        <f t="shared" si="100"/>
        <v>0.92576722698319025</v>
      </c>
      <c r="BC115" s="1">
        <f t="shared" si="101"/>
        <v>0.88177408987319583</v>
      </c>
      <c r="BD115" s="1">
        <f t="shared" si="102"/>
        <v>0.82020490426603954</v>
      </c>
      <c r="BE115" s="1">
        <f t="shared" si="103"/>
        <v>0.99999999999999989</v>
      </c>
      <c r="BF115" s="1">
        <f t="shared" si="104"/>
        <v>0.90732525050227208</v>
      </c>
      <c r="BQ115">
        <v>52.5</v>
      </c>
      <c r="BR115" s="1">
        <f t="shared" si="93"/>
        <v>2.6007237788608407E-2</v>
      </c>
      <c r="BS115">
        <f t="shared" si="94"/>
        <v>-3.6493804032152606</v>
      </c>
      <c r="BT115">
        <f t="shared" si="95"/>
        <v>2756.25</v>
      </c>
      <c r="BU115">
        <f t="shared" si="96"/>
        <v>52.5</v>
      </c>
      <c r="BV115" s="1">
        <f t="shared" si="97"/>
        <v>7.245688373094719</v>
      </c>
      <c r="BW115" s="1">
        <f t="shared" si="98"/>
        <v>2.921691962807E-2</v>
      </c>
      <c r="BX115" s="1">
        <f t="shared" si="99"/>
        <v>3.0598726830182235E-2</v>
      </c>
    </row>
    <row r="116" spans="1:81" x14ac:dyDescent="0.2">
      <c r="A116">
        <v>57.5</v>
      </c>
      <c r="B116">
        <v>6404</v>
      </c>
      <c r="C116">
        <v>4085</v>
      </c>
      <c r="D116">
        <v>369</v>
      </c>
      <c r="E116">
        <v>0</v>
      </c>
      <c r="F116">
        <f t="shared" si="87"/>
        <v>10858</v>
      </c>
      <c r="AJ116">
        <v>55</v>
      </c>
      <c r="AK116" s="1">
        <f t="shared" si="88"/>
        <v>3.2019039428817134E-2</v>
      </c>
      <c r="AL116" s="1">
        <f t="shared" si="89"/>
        <v>4.7741483083036287E-2</v>
      </c>
      <c r="AM116" s="1">
        <f t="shared" si="90"/>
        <v>1.5493785690292241E-2</v>
      </c>
      <c r="AN116" s="1">
        <f t="shared" si="91"/>
        <v>0</v>
      </c>
      <c r="AO116" s="1">
        <f t="shared" si="92"/>
        <v>3.4408016072707451E-2</v>
      </c>
      <c r="BB116" s="1">
        <f t="shared" si="100"/>
        <v>0.95778626641200737</v>
      </c>
      <c r="BC116" s="1">
        <f t="shared" si="101"/>
        <v>0.92951557295623211</v>
      </c>
      <c r="BD116" s="1">
        <f t="shared" si="102"/>
        <v>0.83569868995633179</v>
      </c>
      <c r="BE116" s="1">
        <f t="shared" si="103"/>
        <v>0.99999999999999989</v>
      </c>
      <c r="BF116" s="1">
        <f t="shared" si="104"/>
        <v>0.94173326657497958</v>
      </c>
      <c r="BQ116">
        <v>57.5</v>
      </c>
      <c r="BR116" s="1">
        <f t="shared" si="93"/>
        <v>3.4408016072707451E-2</v>
      </c>
      <c r="BS116">
        <f t="shared" si="94"/>
        <v>-3.369465716379576</v>
      </c>
      <c r="BT116">
        <f t="shared" si="95"/>
        <v>3306.25</v>
      </c>
      <c r="BU116">
        <f t="shared" si="96"/>
        <v>57.5</v>
      </c>
      <c r="BV116" s="1">
        <f t="shared" si="97"/>
        <v>7.5828754440515507</v>
      </c>
      <c r="BW116" s="1">
        <f t="shared" si="98"/>
        <v>2.2255253085640324E-2</v>
      </c>
      <c r="BX116" s="1">
        <f t="shared" si="99"/>
        <v>2.3307809939341735E-2</v>
      </c>
    </row>
    <row r="117" spans="1:81" x14ac:dyDescent="0.2">
      <c r="A117">
        <v>62.5</v>
      </c>
      <c r="B117">
        <v>2150</v>
      </c>
      <c r="C117">
        <v>1311</v>
      </c>
      <c r="D117">
        <v>1236</v>
      </c>
      <c r="E117">
        <v>0</v>
      </c>
      <c r="F117">
        <f t="shared" si="87"/>
        <v>4697</v>
      </c>
      <c r="AJ117">
        <v>60</v>
      </c>
      <c r="AK117" s="1">
        <f t="shared" si="88"/>
        <v>1.074967750967471E-2</v>
      </c>
      <c r="AL117" s="1">
        <f t="shared" si="89"/>
        <v>1.532168526850932E-2</v>
      </c>
      <c r="AM117" s="1">
        <f t="shared" si="90"/>
        <v>5.1897883775613031E-2</v>
      </c>
      <c r="AN117" s="1">
        <f t="shared" si="91"/>
        <v>0</v>
      </c>
      <c r="AO117" s="1">
        <f t="shared" si="92"/>
        <v>1.4884366503362213E-2</v>
      </c>
      <c r="BB117" s="1">
        <f t="shared" si="100"/>
        <v>0.96853594392168207</v>
      </c>
      <c r="BC117" s="1">
        <f t="shared" si="101"/>
        <v>0.94483725822474141</v>
      </c>
      <c r="BD117" s="1">
        <f t="shared" si="102"/>
        <v>0.88759657373194478</v>
      </c>
      <c r="BE117" s="1">
        <f t="shared" si="103"/>
        <v>0.99999999999999989</v>
      </c>
      <c r="BF117" s="1">
        <f t="shared" si="104"/>
        <v>0.9566176330783418</v>
      </c>
      <c r="BQ117">
        <v>62.5</v>
      </c>
      <c r="BR117" s="1">
        <f t="shared" si="93"/>
        <v>1.4884366503362213E-2</v>
      </c>
      <c r="BS117">
        <f t="shared" si="94"/>
        <v>-4.207443844817977</v>
      </c>
      <c r="BT117">
        <f t="shared" si="95"/>
        <v>3906.25</v>
      </c>
      <c r="BU117">
        <f t="shared" si="96"/>
        <v>62.5</v>
      </c>
      <c r="BV117" s="1">
        <f t="shared" si="97"/>
        <v>7.9056941504209481</v>
      </c>
      <c r="BW117" s="1">
        <f t="shared" si="98"/>
        <v>1.6770096866543703E-2</v>
      </c>
      <c r="BX117" s="1">
        <f t="shared" si="99"/>
        <v>1.7563234573232212E-2</v>
      </c>
    </row>
    <row r="118" spans="1:81" x14ac:dyDescent="0.2">
      <c r="A118">
        <v>67.5</v>
      </c>
      <c r="B118">
        <v>1060</v>
      </c>
      <c r="C118">
        <v>772</v>
      </c>
      <c r="D118">
        <v>1527</v>
      </c>
      <c r="E118">
        <v>0</v>
      </c>
      <c r="F118">
        <f t="shared" si="87"/>
        <v>3359</v>
      </c>
      <c r="AJ118">
        <v>65</v>
      </c>
      <c r="AK118" s="1">
        <f t="shared" si="88"/>
        <v>5.2998410047698568E-3</v>
      </c>
      <c r="AL118" s="1">
        <f t="shared" si="89"/>
        <v>9.0223806462922922E-3</v>
      </c>
      <c r="AM118" s="1">
        <f t="shared" si="90"/>
        <v>6.4116560295599603E-2</v>
      </c>
      <c r="AN118" s="1">
        <f t="shared" si="91"/>
        <v>0</v>
      </c>
      <c r="AO118" s="1">
        <f t="shared" si="92"/>
        <v>1.0644365996336742E-2</v>
      </c>
      <c r="BB118" s="1">
        <f t="shared" si="100"/>
        <v>0.97383578492645195</v>
      </c>
      <c r="BC118" s="1">
        <f t="shared" si="101"/>
        <v>0.95385963887103364</v>
      </c>
      <c r="BD118" s="1">
        <f t="shared" si="102"/>
        <v>0.95171313402754443</v>
      </c>
      <c r="BE118" s="1">
        <f t="shared" si="103"/>
        <v>0.99999999999999989</v>
      </c>
      <c r="BF118" s="1">
        <f t="shared" si="104"/>
        <v>0.96726199907467858</v>
      </c>
      <c r="BQ118">
        <v>67.5</v>
      </c>
      <c r="BR118" s="1">
        <f t="shared" si="93"/>
        <v>1.0644365996336742E-2</v>
      </c>
      <c r="BS118">
        <f t="shared" si="94"/>
        <v>-4.5427245412326798</v>
      </c>
      <c r="BT118">
        <f t="shared" si="95"/>
        <v>4556.25</v>
      </c>
      <c r="BU118">
        <f t="shared" si="96"/>
        <v>67.5</v>
      </c>
      <c r="BV118" s="1">
        <f t="shared" si="97"/>
        <v>8.2158383625774913</v>
      </c>
      <c r="BW118" s="1">
        <f t="shared" si="98"/>
        <v>1.2516906973611908E-2</v>
      </c>
      <c r="BX118" s="1">
        <f t="shared" si="99"/>
        <v>1.3108891085026884E-2</v>
      </c>
    </row>
    <row r="119" spans="1:81" x14ac:dyDescent="0.2">
      <c r="A119">
        <v>72.5</v>
      </c>
      <c r="B119">
        <v>2163</v>
      </c>
      <c r="C119">
        <v>2254</v>
      </c>
      <c r="D119">
        <v>600</v>
      </c>
      <c r="E119">
        <v>0</v>
      </c>
      <c r="F119">
        <f t="shared" si="87"/>
        <v>5017</v>
      </c>
      <c r="AJ119">
        <v>70</v>
      </c>
      <c r="AK119" s="1">
        <f t="shared" si="88"/>
        <v>1.0814675559733209E-2</v>
      </c>
      <c r="AL119" s="1">
        <f t="shared" si="89"/>
        <v>2.634254660199848E-2</v>
      </c>
      <c r="AM119" s="1">
        <f t="shared" si="90"/>
        <v>2.5193147463889821E-2</v>
      </c>
      <c r="AN119" s="1">
        <f t="shared" si="91"/>
        <v>0</v>
      </c>
      <c r="AO119" s="1">
        <f t="shared" si="92"/>
        <v>1.5898417446746482E-2</v>
      </c>
      <c r="BB119" s="1">
        <f t="shared" si="100"/>
        <v>0.98465046048618521</v>
      </c>
      <c r="BC119" s="1">
        <f t="shared" si="101"/>
        <v>0.98020218547303217</v>
      </c>
      <c r="BD119" s="1">
        <f t="shared" si="102"/>
        <v>0.97690628149143421</v>
      </c>
      <c r="BE119" s="1">
        <f t="shared" si="103"/>
        <v>0.99999999999999989</v>
      </c>
      <c r="BF119" s="1">
        <f t="shared" si="104"/>
        <v>0.98316041652142505</v>
      </c>
      <c r="BQ119">
        <v>72.5</v>
      </c>
      <c r="BR119" s="1">
        <f t="shared" si="93"/>
        <v>1.5898417446746482E-2</v>
      </c>
      <c r="BS119">
        <f t="shared" si="94"/>
        <v>-4.1415357063607194</v>
      </c>
      <c r="BT119">
        <f t="shared" si="95"/>
        <v>5256.25</v>
      </c>
      <c r="BU119">
        <f t="shared" si="96"/>
        <v>72.5</v>
      </c>
      <c r="BV119" s="1">
        <f t="shared" si="97"/>
        <v>8.5146931829632013</v>
      </c>
      <c r="BW119" s="1">
        <f t="shared" si="98"/>
        <v>9.26338043822603E-3</v>
      </c>
      <c r="BX119" s="1">
        <f t="shared" si="99"/>
        <v>9.7014897929558353E-3</v>
      </c>
    </row>
    <row r="120" spans="1:81" x14ac:dyDescent="0.2">
      <c r="A120">
        <v>77.5</v>
      </c>
      <c r="B120">
        <v>823</v>
      </c>
      <c r="C120">
        <v>396</v>
      </c>
      <c r="D120">
        <v>243</v>
      </c>
      <c r="E120">
        <v>0</v>
      </c>
      <c r="F120">
        <f t="shared" si="87"/>
        <v>1462</v>
      </c>
      <c r="AJ120">
        <v>75</v>
      </c>
      <c r="AK120" s="1">
        <f t="shared" si="88"/>
        <v>4.1148765537033886E-3</v>
      </c>
      <c r="AL120" s="1">
        <f t="shared" si="89"/>
        <v>4.6280605387716937E-3</v>
      </c>
      <c r="AM120" s="1">
        <f t="shared" si="90"/>
        <v>1.0203224722875378E-2</v>
      </c>
      <c r="AN120" s="1">
        <f t="shared" si="91"/>
        <v>0</v>
      </c>
      <c r="AO120" s="1">
        <f t="shared" si="92"/>
        <v>4.6329452475868758E-3</v>
      </c>
      <c r="BB120" s="1">
        <f t="shared" si="100"/>
        <v>0.98876533703988856</v>
      </c>
      <c r="BC120" s="1">
        <f t="shared" si="101"/>
        <v>0.98483024601180391</v>
      </c>
      <c r="BD120" s="1">
        <f t="shared" si="102"/>
        <v>0.9871095062143096</v>
      </c>
      <c r="BE120" s="1">
        <f t="shared" si="103"/>
        <v>0.99999999999999989</v>
      </c>
      <c r="BF120" s="1">
        <f t="shared" si="104"/>
        <v>0.98779336176901189</v>
      </c>
      <c r="BQ120">
        <v>77.5</v>
      </c>
      <c r="BR120" s="1">
        <f t="shared" si="93"/>
        <v>4.6329452475868758E-3</v>
      </c>
      <c r="BS120">
        <f t="shared" si="94"/>
        <v>-5.3745624905352489</v>
      </c>
      <c r="BT120">
        <f t="shared" si="95"/>
        <v>6006.25</v>
      </c>
      <c r="BU120">
        <f t="shared" si="96"/>
        <v>77.5</v>
      </c>
      <c r="BV120" s="1">
        <f t="shared" si="97"/>
        <v>8.8034084308295046</v>
      </c>
      <c r="BW120" s="1">
        <f t="shared" si="98"/>
        <v>6.8034425147404046E-3</v>
      </c>
      <c r="BX120" s="1">
        <f t="shared" si="99"/>
        <v>7.1252096957334643E-3</v>
      </c>
    </row>
    <row r="121" spans="1:81" x14ac:dyDescent="0.2">
      <c r="A121">
        <v>82.5</v>
      </c>
      <c r="B121">
        <v>852</v>
      </c>
      <c r="C121">
        <v>193</v>
      </c>
      <c r="D121">
        <v>307</v>
      </c>
      <c r="E121">
        <v>0</v>
      </c>
      <c r="F121">
        <f t="shared" si="87"/>
        <v>1352</v>
      </c>
      <c r="AJ121">
        <v>80</v>
      </c>
      <c r="AK121" s="1">
        <f t="shared" si="88"/>
        <v>4.2598722038338852E-3</v>
      </c>
      <c r="AL121" s="1">
        <f t="shared" si="89"/>
        <v>2.2555951615730731E-3</v>
      </c>
      <c r="AM121" s="1">
        <f t="shared" si="90"/>
        <v>1.2890493785690292E-2</v>
      </c>
      <c r="AN121" s="1">
        <f t="shared" si="91"/>
        <v>0</v>
      </c>
      <c r="AO121" s="1">
        <f t="shared" si="92"/>
        <v>4.2843652357985335E-3</v>
      </c>
      <c r="BB121" s="1">
        <f t="shared" si="100"/>
        <v>0.9930252092437224</v>
      </c>
      <c r="BC121" s="1">
        <f t="shared" si="101"/>
        <v>0.98708584117337694</v>
      </c>
      <c r="BD121" s="1">
        <f t="shared" si="102"/>
        <v>0.99999999999999989</v>
      </c>
      <c r="BE121" s="1">
        <f t="shared" si="103"/>
        <v>0.99999999999999989</v>
      </c>
      <c r="BF121" s="1">
        <f t="shared" si="104"/>
        <v>0.99207772700481045</v>
      </c>
      <c r="BQ121">
        <v>82.5</v>
      </c>
      <c r="BR121" s="1">
        <f t="shared" si="93"/>
        <v>4.2843652357985335E-3</v>
      </c>
      <c r="BS121">
        <f t="shared" si="94"/>
        <v>-5.4527828742420628</v>
      </c>
      <c r="BT121">
        <f t="shared" si="95"/>
        <v>6806.25</v>
      </c>
      <c r="BU121">
        <f t="shared" si="96"/>
        <v>82.5</v>
      </c>
      <c r="BV121" s="1">
        <f t="shared" si="97"/>
        <v>9.0829510622924747</v>
      </c>
      <c r="BW121" s="1">
        <f t="shared" si="98"/>
        <v>4.9623872149743026E-3</v>
      </c>
      <c r="BX121" s="1">
        <f t="shared" si="99"/>
        <v>5.1970821273952987E-3</v>
      </c>
    </row>
    <row r="122" spans="1:81" x14ac:dyDescent="0.2">
      <c r="A122">
        <v>87.5</v>
      </c>
      <c r="B122">
        <v>951</v>
      </c>
      <c r="C122">
        <v>914</v>
      </c>
      <c r="D122">
        <v>0</v>
      </c>
      <c r="E122">
        <v>0</v>
      </c>
      <c r="F122">
        <f t="shared" si="87"/>
        <v>1865</v>
      </c>
      <c r="AJ122">
        <v>85</v>
      </c>
      <c r="AK122" s="1">
        <f t="shared" si="88"/>
        <v>4.7548573542793718E-3</v>
      </c>
      <c r="AL122" s="1">
        <f t="shared" si="89"/>
        <v>1.0681937708175071E-2</v>
      </c>
      <c r="AM122" s="1">
        <f t="shared" si="90"/>
        <v>0</v>
      </c>
      <c r="AN122" s="1">
        <f t="shared" si="91"/>
        <v>0</v>
      </c>
      <c r="AO122" s="1">
        <f t="shared" si="92"/>
        <v>5.9100156544114385E-3</v>
      </c>
      <c r="BB122" s="1">
        <f t="shared" si="100"/>
        <v>0.99778006659800178</v>
      </c>
      <c r="BC122" s="1">
        <f t="shared" si="101"/>
        <v>0.99776777888155199</v>
      </c>
      <c r="BD122" s="1">
        <f t="shared" si="102"/>
        <v>0.99999999999999989</v>
      </c>
      <c r="BE122" s="1">
        <f t="shared" si="103"/>
        <v>0.99999999999999989</v>
      </c>
      <c r="BF122" s="1">
        <f t="shared" si="104"/>
        <v>0.99798774265922185</v>
      </c>
      <c r="BQ122">
        <v>87.5</v>
      </c>
      <c r="BR122" s="1">
        <f t="shared" si="93"/>
        <v>5.9100156544114385E-3</v>
      </c>
      <c r="BS122">
        <f t="shared" si="94"/>
        <v>-5.1311067987670569</v>
      </c>
      <c r="BT122">
        <f t="shared" si="95"/>
        <v>7656.25</v>
      </c>
      <c r="BU122">
        <f t="shared" si="96"/>
        <v>87.5</v>
      </c>
      <c r="BV122" s="1">
        <f t="shared" si="97"/>
        <v>9.354143466934854</v>
      </c>
      <c r="BW122" s="1">
        <f t="shared" si="98"/>
        <v>3.5968640031328134E-3</v>
      </c>
      <c r="BX122" s="1">
        <f t="shared" si="99"/>
        <v>3.7669768229583538E-3</v>
      </c>
    </row>
    <row r="123" spans="1:81" x14ac:dyDescent="0.2">
      <c r="A123">
        <v>90</v>
      </c>
      <c r="B123">
        <v>444</v>
      </c>
      <c r="C123">
        <v>191</v>
      </c>
      <c r="D123">
        <v>0</v>
      </c>
      <c r="E123">
        <v>0</v>
      </c>
      <c r="F123">
        <f t="shared" si="87"/>
        <v>635</v>
      </c>
      <c r="AJ123">
        <v>90</v>
      </c>
      <c r="AK123" s="1">
        <f t="shared" si="88"/>
        <v>2.21993340199794E-3</v>
      </c>
      <c r="AL123" s="1">
        <f t="shared" si="89"/>
        <v>2.2322211184479636E-3</v>
      </c>
      <c r="AM123" s="1">
        <f t="shared" si="90"/>
        <v>0</v>
      </c>
      <c r="AN123" s="1">
        <f t="shared" si="91"/>
        <v>0</v>
      </c>
      <c r="AO123" s="1">
        <f t="shared" si="92"/>
        <v>2.0122573407781574E-3</v>
      </c>
      <c r="BQ123">
        <v>92.5</v>
      </c>
      <c r="BR123" s="1">
        <f t="shared" si="93"/>
        <v>2.0122573407781574E-3</v>
      </c>
      <c r="BS123">
        <f t="shared" si="94"/>
        <v>-6.2084981319522807</v>
      </c>
      <c r="BT123">
        <f t="shared" si="95"/>
        <v>8556.25</v>
      </c>
      <c r="BU123">
        <f t="shared" si="96"/>
        <v>92.5</v>
      </c>
      <c r="BV123" s="1">
        <f t="shared" si="97"/>
        <v>9.6176920308356717</v>
      </c>
      <c r="BW123" s="1">
        <f t="shared" si="98"/>
        <v>2.5921471193513612E-3</v>
      </c>
      <c r="BX123" s="1">
        <f t="shared" si="99"/>
        <v>2.7147420952780142E-3</v>
      </c>
    </row>
    <row r="124" spans="1:81" x14ac:dyDescent="0.2">
      <c r="BV124" s="1"/>
      <c r="BW124" s="1"/>
      <c r="BX124" s="1"/>
    </row>
    <row r="125" spans="1:81" x14ac:dyDescent="0.2">
      <c r="B125">
        <f>SUM(B105:B124)</f>
        <v>200006</v>
      </c>
      <c r="C125">
        <f>SUM(C105:C124)</f>
        <v>85565</v>
      </c>
      <c r="D125">
        <f>SUM(D105:D124)</f>
        <v>23816</v>
      </c>
      <c r="E125">
        <f>SUM(E105:E124)</f>
        <v>6179</v>
      </c>
      <c r="F125">
        <f>SUM(F105:F124)</f>
        <v>315566</v>
      </c>
    </row>
    <row r="143" spans="2:3" x14ac:dyDescent="0.2">
      <c r="B143" t="s">
        <v>59</v>
      </c>
    </row>
    <row r="144" spans="2:3" x14ac:dyDescent="0.2">
      <c r="B144" t="s">
        <v>60</v>
      </c>
      <c r="C144" t="s">
        <v>61</v>
      </c>
    </row>
    <row r="145" spans="1:9" x14ac:dyDescent="0.2">
      <c r="A145">
        <v>0</v>
      </c>
      <c r="B145">
        <v>196</v>
      </c>
      <c r="C145">
        <v>69</v>
      </c>
      <c r="H145">
        <f t="shared" ref="H145:H152" si="105">EXP(3.96-0.145*A145)</f>
        <v>52.457325949099051</v>
      </c>
      <c r="I145">
        <f t="shared" ref="I145:I152" si="106">H145/H$154</f>
        <v>0.51724140772309446</v>
      </c>
    </row>
    <row r="146" spans="1:9" x14ac:dyDescent="0.2">
      <c r="A146">
        <v>5</v>
      </c>
      <c r="B146">
        <v>135</v>
      </c>
      <c r="C146">
        <v>26</v>
      </c>
      <c r="H146">
        <f t="shared" si="105"/>
        <v>25.406371778848346</v>
      </c>
      <c r="I146">
        <f t="shared" si="106"/>
        <v>0.25051272184135259</v>
      </c>
    </row>
    <row r="147" spans="1:9" x14ac:dyDescent="0.2">
      <c r="A147">
        <v>10</v>
      </c>
      <c r="B147">
        <v>68</v>
      </c>
      <c r="C147">
        <v>13</v>
      </c>
      <c r="H147">
        <f t="shared" si="105"/>
        <v>12.30493006051041</v>
      </c>
      <c r="I147">
        <f t="shared" si="106"/>
        <v>0.12132946602364769</v>
      </c>
    </row>
    <row r="148" spans="1:9" x14ac:dyDescent="0.2">
      <c r="A148">
        <v>15</v>
      </c>
      <c r="B148">
        <v>49</v>
      </c>
      <c r="C148">
        <v>3</v>
      </c>
      <c r="H148">
        <f t="shared" si="105"/>
        <v>5.9595799475825881</v>
      </c>
      <c r="I148">
        <f t="shared" si="106"/>
        <v>5.8762841333487484E-2</v>
      </c>
    </row>
    <row r="149" spans="1:9" x14ac:dyDescent="0.2">
      <c r="A149">
        <v>20</v>
      </c>
      <c r="B149">
        <v>14</v>
      </c>
      <c r="C149">
        <v>2</v>
      </c>
      <c r="H149">
        <f t="shared" si="105"/>
        <v>2.8863709892679585</v>
      </c>
      <c r="I149">
        <f t="shared" si="106"/>
        <v>2.846028779943368E-2</v>
      </c>
    </row>
    <row r="150" spans="1:9" x14ac:dyDescent="0.2">
      <c r="A150">
        <v>25</v>
      </c>
      <c r="B150">
        <v>3</v>
      </c>
      <c r="C150">
        <v>4</v>
      </c>
      <c r="H150">
        <f t="shared" si="105"/>
        <v>1.3979403852224677</v>
      </c>
      <c r="I150">
        <f t="shared" si="106"/>
        <v>1.3784016620806284E-2</v>
      </c>
    </row>
    <row r="151" spans="1:9" x14ac:dyDescent="0.2">
      <c r="A151">
        <v>30</v>
      </c>
      <c r="B151">
        <v>2</v>
      </c>
      <c r="C151">
        <v>0</v>
      </c>
      <c r="H151">
        <f t="shared" si="105"/>
        <v>0.67705687449816487</v>
      </c>
      <c r="I151">
        <f t="shared" si="106"/>
        <v>6.675937908345554E-3</v>
      </c>
    </row>
    <row r="152" spans="1:9" x14ac:dyDescent="0.2">
      <c r="A152">
        <v>35</v>
      </c>
      <c r="B152">
        <v>3</v>
      </c>
      <c r="H152">
        <f t="shared" si="105"/>
        <v>0.32791527889958877</v>
      </c>
      <c r="I152">
        <f t="shared" si="106"/>
        <v>3.2333207498322259E-3</v>
      </c>
    </row>
    <row r="154" spans="1:9" x14ac:dyDescent="0.2">
      <c r="B154">
        <f>SUM(B145:B152)</f>
        <v>470</v>
      </c>
      <c r="C154">
        <f>SUM(C145:C152)</f>
        <v>117</v>
      </c>
      <c r="H154">
        <f>SUM(H145:H152)</f>
        <v>101.41749126392858</v>
      </c>
    </row>
    <row r="160" spans="1:9" x14ac:dyDescent="0.2">
      <c r="A160" t="s">
        <v>62</v>
      </c>
      <c r="B160" t="s">
        <v>63</v>
      </c>
      <c r="C160" t="s">
        <v>64</v>
      </c>
    </row>
    <row r="161" spans="1:3" x14ac:dyDescent="0.2">
      <c r="A161" t="s">
        <v>65</v>
      </c>
      <c r="B161" t="s">
        <v>63</v>
      </c>
      <c r="C161" t="s">
        <v>66</v>
      </c>
    </row>
    <row r="162" spans="1:3" x14ac:dyDescent="0.2">
      <c r="A162" t="s">
        <v>67</v>
      </c>
      <c r="B162" t="s">
        <v>63</v>
      </c>
      <c r="C162" t="s">
        <v>68</v>
      </c>
    </row>
    <row r="163" spans="1:3" x14ac:dyDescent="0.2">
      <c r="A163" t="s">
        <v>69</v>
      </c>
      <c r="B163" t="s">
        <v>63</v>
      </c>
      <c r="C163" t="s">
        <v>70</v>
      </c>
    </row>
    <row r="164" spans="1:3" x14ac:dyDescent="0.2">
      <c r="A164" t="s">
        <v>71</v>
      </c>
      <c r="B164" t="s">
        <v>63</v>
      </c>
      <c r="C164" t="s">
        <v>72</v>
      </c>
    </row>
    <row r="165" spans="1:3" x14ac:dyDescent="0.2">
      <c r="A165" t="s">
        <v>73</v>
      </c>
      <c r="B165" t="s">
        <v>63</v>
      </c>
      <c r="C165" t="s">
        <v>74</v>
      </c>
    </row>
    <row r="166" spans="1:3" x14ac:dyDescent="0.2">
      <c r="A166" t="s">
        <v>75</v>
      </c>
      <c r="B166" t="s">
        <v>63</v>
      </c>
      <c r="C166" t="s">
        <v>74</v>
      </c>
    </row>
    <row r="167" spans="1:3" x14ac:dyDescent="0.2">
      <c r="A167" t="s">
        <v>76</v>
      </c>
      <c r="B167" t="s">
        <v>63</v>
      </c>
      <c r="C167" t="s">
        <v>77</v>
      </c>
    </row>
    <row r="168" spans="1:3" x14ac:dyDescent="0.2">
      <c r="A168" t="s">
        <v>78</v>
      </c>
      <c r="B168" t="s">
        <v>63</v>
      </c>
      <c r="C168" t="s">
        <v>79</v>
      </c>
    </row>
    <row r="169" spans="1:3" x14ac:dyDescent="0.2">
      <c r="A169" t="s">
        <v>80</v>
      </c>
      <c r="B169" t="s">
        <v>63</v>
      </c>
      <c r="C169" t="s">
        <v>81</v>
      </c>
    </row>
    <row r="170" spans="1:3" x14ac:dyDescent="0.2">
      <c r="A170" t="s">
        <v>82</v>
      </c>
      <c r="B170" t="s">
        <v>63</v>
      </c>
      <c r="C170" t="s">
        <v>81</v>
      </c>
    </row>
    <row r="171" spans="1:3" x14ac:dyDescent="0.2">
      <c r="A171" t="s">
        <v>83</v>
      </c>
      <c r="B171" t="s">
        <v>63</v>
      </c>
      <c r="C171" t="s">
        <v>81</v>
      </c>
    </row>
    <row r="172" spans="1:3" x14ac:dyDescent="0.2">
      <c r="A172" t="s">
        <v>84</v>
      </c>
      <c r="B172" t="s">
        <v>63</v>
      </c>
      <c r="C172" t="s">
        <v>81</v>
      </c>
    </row>
    <row r="173" spans="1:3" x14ac:dyDescent="0.2">
      <c r="A173" t="s">
        <v>85</v>
      </c>
      <c r="B173" t="s">
        <v>63</v>
      </c>
      <c r="C173" t="s">
        <v>86</v>
      </c>
    </row>
    <row r="174" spans="1:3" x14ac:dyDescent="0.2">
      <c r="A174" t="s">
        <v>87</v>
      </c>
      <c r="B174" t="s">
        <v>63</v>
      </c>
      <c r="C174" t="s">
        <v>88</v>
      </c>
    </row>
    <row r="175" spans="1:3" x14ac:dyDescent="0.2">
      <c r="A175" t="s">
        <v>89</v>
      </c>
      <c r="B175" t="s">
        <v>63</v>
      </c>
      <c r="C175" t="s">
        <v>90</v>
      </c>
    </row>
    <row r="176" spans="1:3" x14ac:dyDescent="0.2">
      <c r="A176" t="s">
        <v>91</v>
      </c>
      <c r="B176" t="s">
        <v>63</v>
      </c>
      <c r="C176" t="s">
        <v>90</v>
      </c>
    </row>
    <row r="177" spans="1:3" x14ac:dyDescent="0.2">
      <c r="A177" t="s">
        <v>92</v>
      </c>
      <c r="B177" t="s">
        <v>63</v>
      </c>
      <c r="C177" t="s">
        <v>66</v>
      </c>
    </row>
    <row r="178" spans="1:3" x14ac:dyDescent="0.2">
      <c r="A178" t="s">
        <v>93</v>
      </c>
      <c r="B178" t="s">
        <v>63</v>
      </c>
      <c r="C178" t="s">
        <v>90</v>
      </c>
    </row>
    <row r="179" spans="1:3" x14ac:dyDescent="0.2">
      <c r="A179" t="s">
        <v>94</v>
      </c>
      <c r="B179" t="s">
        <v>63</v>
      </c>
      <c r="C179" t="s">
        <v>81</v>
      </c>
    </row>
    <row r="180" spans="1:3" x14ac:dyDescent="0.2">
      <c r="A180" t="s">
        <v>95</v>
      </c>
      <c r="B180" t="s">
        <v>63</v>
      </c>
      <c r="C180" t="s">
        <v>96</v>
      </c>
    </row>
    <row r="181" spans="1:3" x14ac:dyDescent="0.2">
      <c r="A181" t="s">
        <v>97</v>
      </c>
      <c r="B181" t="s">
        <v>63</v>
      </c>
      <c r="C181" t="s">
        <v>98</v>
      </c>
    </row>
    <row r="182" spans="1:3" x14ac:dyDescent="0.2">
      <c r="A182" t="s">
        <v>99</v>
      </c>
      <c r="B182" t="s">
        <v>63</v>
      </c>
      <c r="C182" t="s">
        <v>100</v>
      </c>
    </row>
    <row r="183" spans="1:3" x14ac:dyDescent="0.2">
      <c r="A183" t="s">
        <v>101</v>
      </c>
      <c r="B183" t="s">
        <v>63</v>
      </c>
      <c r="C183" t="s">
        <v>90</v>
      </c>
    </row>
    <row r="184" spans="1:3" x14ac:dyDescent="0.2">
      <c r="A184" t="s">
        <v>102</v>
      </c>
      <c r="B184" t="s">
        <v>63</v>
      </c>
      <c r="C184" t="s">
        <v>66</v>
      </c>
    </row>
    <row r="185" spans="1:3" x14ac:dyDescent="0.2">
      <c r="A185" t="s">
        <v>103</v>
      </c>
      <c r="B185" t="s">
        <v>63</v>
      </c>
      <c r="C185" t="s">
        <v>90</v>
      </c>
    </row>
    <row r="186" spans="1:3" x14ac:dyDescent="0.2">
      <c r="A186" t="s">
        <v>104</v>
      </c>
      <c r="B186" t="s">
        <v>63</v>
      </c>
      <c r="C186" t="s">
        <v>74</v>
      </c>
    </row>
    <row r="187" spans="1:3" x14ac:dyDescent="0.2">
      <c r="A187" t="s">
        <v>105</v>
      </c>
      <c r="B187" t="s">
        <v>63</v>
      </c>
      <c r="C187" t="s">
        <v>106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Z120"/>
  <sheetViews>
    <sheetView showGridLines="0" workbookViewId="0">
      <selection activeCell="G5" sqref="G5"/>
    </sheetView>
  </sheetViews>
  <sheetFormatPr baseColWidth="10" defaultColWidth="9.83203125" defaultRowHeight="13" x14ac:dyDescent="0.2"/>
  <sheetData>
    <row r="1" spans="1:26" x14ac:dyDescent="0.2">
      <c r="A1" t="s">
        <v>107</v>
      </c>
    </row>
    <row r="3" spans="1:26" x14ac:dyDescent="0.2">
      <c r="A3" t="s">
        <v>108</v>
      </c>
      <c r="G3" t="s">
        <v>109</v>
      </c>
      <c r="L3" t="s">
        <v>15</v>
      </c>
      <c r="R3" t="s">
        <v>110</v>
      </c>
      <c r="W3" t="s">
        <v>111</v>
      </c>
    </row>
    <row r="4" spans="1:26" x14ac:dyDescent="0.2">
      <c r="B4" t="s">
        <v>19</v>
      </c>
      <c r="C4" t="s">
        <v>27</v>
      </c>
      <c r="D4" t="s">
        <v>58</v>
      </c>
      <c r="E4" t="s">
        <v>25</v>
      </c>
      <c r="F4" t="s">
        <v>112</v>
      </c>
      <c r="G4" t="s">
        <v>19</v>
      </c>
      <c r="H4" t="s">
        <v>27</v>
      </c>
      <c r="I4" t="s">
        <v>58</v>
      </c>
      <c r="J4" t="s">
        <v>25</v>
      </c>
      <c r="L4" t="s">
        <v>19</v>
      </c>
      <c r="M4" t="s">
        <v>27</v>
      </c>
      <c r="N4" t="s">
        <v>58</v>
      </c>
      <c r="O4" t="s">
        <v>25</v>
      </c>
      <c r="R4" t="s">
        <v>19</v>
      </c>
      <c r="S4" t="s">
        <v>57</v>
      </c>
      <c r="T4" t="s">
        <v>58</v>
      </c>
      <c r="U4" t="s">
        <v>25</v>
      </c>
      <c r="W4" t="s">
        <v>19</v>
      </c>
      <c r="X4" t="s">
        <v>57</v>
      </c>
      <c r="Y4" t="s">
        <v>58</v>
      </c>
      <c r="Z4" t="s">
        <v>25</v>
      </c>
    </row>
    <row r="5" spans="1:26" x14ac:dyDescent="0.2">
      <c r="A5">
        <v>2.5</v>
      </c>
      <c r="B5">
        <v>56567</v>
      </c>
      <c r="C5">
        <v>20711</v>
      </c>
      <c r="D5">
        <v>1178</v>
      </c>
      <c r="E5">
        <v>10768</v>
      </c>
      <c r="F5">
        <f t="shared" ref="F5:F23" si="0">B5+C5</f>
        <v>77278</v>
      </c>
      <c r="G5" s="1">
        <f t="shared" ref="G5:G23" si="1">B5/B$24</f>
        <v>6.5361750313422576E-2</v>
      </c>
      <c r="H5" s="1">
        <f t="shared" ref="H5:H23" si="2">C5/C$24</f>
        <v>5.5686257639350083E-2</v>
      </c>
      <c r="I5" s="1">
        <f t="shared" ref="I5:I23" si="3">D5/D$24</f>
        <v>4.3649029198162149E-3</v>
      </c>
      <c r="J5" s="1">
        <f t="shared" ref="J5:J23" si="4">E5/E$24</f>
        <v>0.27352858993573298</v>
      </c>
      <c r="K5" s="1">
        <f t="shared" ref="K5:K23" si="5">F5/F$24</f>
        <v>6.2453530396777673E-2</v>
      </c>
      <c r="L5" s="1">
        <f>G5</f>
        <v>6.5361750313422576E-2</v>
      </c>
      <c r="M5" s="1">
        <f>H5</f>
        <v>5.5686257639350083E-2</v>
      </c>
      <c r="N5" s="1">
        <f>I5</f>
        <v>4.3649029198162149E-3</v>
      </c>
      <c r="O5" s="1">
        <f>J5</f>
        <v>0.27352858993573298</v>
      </c>
      <c r="R5" s="1">
        <f t="shared" ref="R5:R23" si="6">EXP(2.32-0.000643*$A5*$A5)/100</f>
        <v>0.10134862875350972</v>
      </c>
      <c r="S5" s="1">
        <f t="shared" ref="S5:S23" si="7">EXP(2.31-0.000496*$A5*$A5)/100</f>
        <v>0.10043242296211058</v>
      </c>
      <c r="T5" s="1">
        <f t="shared" ref="T5:T23" si="8">EXP(0.051+0.094*$A5-0.0015*$A5*$A5)/100</f>
        <v>1.3186717763881131E-2</v>
      </c>
      <c r="U5" s="1">
        <f t="shared" ref="U5:U23" si="9">EXP(3.18-0.08*$A5)/100</f>
        <v>0.19687816644762399</v>
      </c>
      <c r="W5" s="1">
        <f t="shared" ref="W5:W23" si="10">R5/R$24</f>
        <v>0.14258244733184741</v>
      </c>
      <c r="X5" s="1">
        <f t="shared" ref="X5:X23" si="11">S5/S$24</f>
        <v>0.12560654822143472</v>
      </c>
      <c r="Y5" s="1">
        <f t="shared" ref="Y5:Y23" si="12">T5/T$24</f>
        <v>3.2798780530160818E-2</v>
      </c>
      <c r="Z5" s="1">
        <f t="shared" ref="Z5:Z23" si="13">U5/U$24</f>
        <v>0.32984502538012545</v>
      </c>
    </row>
    <row r="6" spans="1:26" x14ac:dyDescent="0.2">
      <c r="A6">
        <v>7.5</v>
      </c>
      <c r="B6">
        <v>81428</v>
      </c>
      <c r="C6">
        <v>27228</v>
      </c>
      <c r="D6">
        <v>3419</v>
      </c>
      <c r="E6">
        <v>9177</v>
      </c>
      <c r="F6">
        <f t="shared" si="0"/>
        <v>108656</v>
      </c>
      <c r="G6" s="1">
        <f t="shared" si="1"/>
        <v>9.4088012525348236E-2</v>
      </c>
      <c r="H6" s="1">
        <f t="shared" si="2"/>
        <v>7.3208701801179277E-2</v>
      </c>
      <c r="I6" s="1">
        <f t="shared" si="3"/>
        <v>1.2668593448940269E-2</v>
      </c>
      <c r="J6" s="1">
        <f t="shared" si="4"/>
        <v>0.23311402951710825</v>
      </c>
      <c r="K6" s="1">
        <f t="shared" si="5"/>
        <v>8.781219491695276E-2</v>
      </c>
      <c r="L6" s="1">
        <f t="shared" ref="L6:L23" si="14">G6+L5</f>
        <v>0.15944976283877083</v>
      </c>
      <c r="M6" s="1">
        <f t="shared" ref="M6:M23" si="15">H6+M5</f>
        <v>0.12889495944052937</v>
      </c>
      <c r="N6" s="1">
        <f t="shared" ref="N6:N23" si="16">I6+N5</f>
        <v>1.7033496368756486E-2</v>
      </c>
      <c r="O6" s="1">
        <f t="shared" ref="O6:O23" si="17">J6+O5</f>
        <v>0.50664261945284128</v>
      </c>
      <c r="R6" s="1">
        <f t="shared" si="6"/>
        <v>9.8142091614579291E-2</v>
      </c>
      <c r="S6" s="1">
        <f t="shared" si="7"/>
        <v>9.7972330110674535E-2</v>
      </c>
      <c r="T6" s="1">
        <f t="shared" si="8"/>
        <v>1.9574155378841138E-2</v>
      </c>
      <c r="U6" s="1">
        <f t="shared" si="9"/>
        <v>0.13197138159658359</v>
      </c>
      <c r="W6" s="1">
        <f t="shared" si="10"/>
        <v>0.13807132647750306</v>
      </c>
      <c r="X6" s="1">
        <f t="shared" si="11"/>
        <v>0.12252981500859883</v>
      </c>
      <c r="Y6" s="1">
        <f t="shared" si="12"/>
        <v>4.8685991300455395E-2</v>
      </c>
      <c r="Z6" s="1">
        <f t="shared" si="13"/>
        <v>0.22110173259743235</v>
      </c>
    </row>
    <row r="7" spans="1:26" x14ac:dyDescent="0.2">
      <c r="A7">
        <v>12.5</v>
      </c>
      <c r="B7">
        <v>142720</v>
      </c>
      <c r="C7">
        <v>43586</v>
      </c>
      <c r="D7">
        <v>12775</v>
      </c>
      <c r="E7">
        <v>9374</v>
      </c>
      <c r="F7">
        <f t="shared" si="0"/>
        <v>186306</v>
      </c>
      <c r="G7" s="1">
        <f t="shared" si="1"/>
        <v>0.1649093818786867</v>
      </c>
      <c r="H7" s="1">
        <f t="shared" si="2"/>
        <v>0.11719092392780225</v>
      </c>
      <c r="I7" s="1">
        <f t="shared" si="3"/>
        <v>4.7335852971691121E-2</v>
      </c>
      <c r="J7" s="1">
        <f t="shared" si="4"/>
        <v>0.23811822084487008</v>
      </c>
      <c r="K7" s="1">
        <f t="shared" si="5"/>
        <v>0.15056636344240357</v>
      </c>
      <c r="L7" s="1">
        <f t="shared" si="14"/>
        <v>0.32435914471745753</v>
      </c>
      <c r="M7" s="1">
        <f t="shared" si="15"/>
        <v>0.24608588336833162</v>
      </c>
      <c r="N7" s="1">
        <f t="shared" si="16"/>
        <v>6.4369349340447607E-2</v>
      </c>
      <c r="O7" s="1">
        <f t="shared" si="17"/>
        <v>0.74476084029771139</v>
      </c>
      <c r="R7" s="1">
        <f t="shared" si="6"/>
        <v>9.2030159409284107E-2</v>
      </c>
      <c r="S7" s="1">
        <f t="shared" si="7"/>
        <v>9.3231448309973375E-2</v>
      </c>
      <c r="T7" s="1">
        <f t="shared" si="8"/>
        <v>2.6956112835628144E-2</v>
      </c>
      <c r="U7" s="1">
        <f t="shared" si="9"/>
        <v>8.8463062587208832E-2</v>
      </c>
      <c r="W7" s="1">
        <f t="shared" si="10"/>
        <v>0.12947274687681809</v>
      </c>
      <c r="X7" s="1">
        <f t="shared" si="11"/>
        <v>0.1166005963265349</v>
      </c>
      <c r="Y7" s="1">
        <f t="shared" si="12"/>
        <v>6.7046830354075979E-2</v>
      </c>
      <c r="Z7" s="1">
        <f t="shared" si="13"/>
        <v>0.14820892357327048</v>
      </c>
    </row>
    <row r="8" spans="1:26" x14ac:dyDescent="0.2">
      <c r="A8">
        <v>17.5</v>
      </c>
      <c r="B8">
        <v>98224</v>
      </c>
      <c r="C8">
        <v>33956</v>
      </c>
      <c r="D8">
        <v>12675</v>
      </c>
      <c r="E8">
        <v>3102</v>
      </c>
      <c r="F8">
        <f t="shared" si="0"/>
        <v>132180</v>
      </c>
      <c r="G8" s="1">
        <f t="shared" si="1"/>
        <v>0.1134953694342217</v>
      </c>
      <c r="H8" s="1">
        <f t="shared" si="2"/>
        <v>9.1298467693581742E-2</v>
      </c>
      <c r="I8" s="1">
        <f t="shared" si="3"/>
        <v>4.6965317919075142E-2</v>
      </c>
      <c r="J8" s="1">
        <f t="shared" si="4"/>
        <v>7.8796961922422332E-2</v>
      </c>
      <c r="K8" s="1">
        <f t="shared" si="5"/>
        <v>0.10682351572046472</v>
      </c>
      <c r="L8" s="1">
        <f t="shared" si="14"/>
        <v>0.4378545141516792</v>
      </c>
      <c r="M8" s="1">
        <f t="shared" si="15"/>
        <v>0.33738435106191333</v>
      </c>
      <c r="N8" s="1">
        <f t="shared" si="16"/>
        <v>0.11133466725952275</v>
      </c>
      <c r="O8" s="1">
        <f t="shared" si="17"/>
        <v>0.82355780222013375</v>
      </c>
      <c r="R8" s="1">
        <f t="shared" si="6"/>
        <v>8.3568473940550891E-2</v>
      </c>
      <c r="S8" s="1">
        <f t="shared" si="7"/>
        <v>8.6546781384080007E-2</v>
      </c>
      <c r="T8" s="1">
        <f t="shared" si="8"/>
        <v>3.4439704279954332E-2</v>
      </c>
      <c r="U8" s="1">
        <f t="shared" si="9"/>
        <v>5.9298564185911458E-2</v>
      </c>
      <c r="W8" s="1">
        <f t="shared" si="10"/>
        <v>0.11756841390731523</v>
      </c>
      <c r="X8" s="1">
        <f t="shared" si="11"/>
        <v>0.10824036848568892</v>
      </c>
      <c r="Y8" s="1">
        <f t="shared" si="12"/>
        <v>8.5660459443199818E-2</v>
      </c>
      <c r="Z8" s="1">
        <f t="shared" si="13"/>
        <v>9.9347412472527194E-2</v>
      </c>
    </row>
    <row r="9" spans="1:26" x14ac:dyDescent="0.2">
      <c r="A9">
        <v>22.5</v>
      </c>
      <c r="B9">
        <v>46207</v>
      </c>
      <c r="C9">
        <v>22176</v>
      </c>
      <c r="D9">
        <v>10238</v>
      </c>
      <c r="E9">
        <v>1250</v>
      </c>
      <c r="F9">
        <f t="shared" si="0"/>
        <v>68383</v>
      </c>
      <c r="G9" s="1">
        <f t="shared" si="1"/>
        <v>5.339103004812553E-2</v>
      </c>
      <c r="H9" s="1">
        <f t="shared" si="2"/>
        <v>5.9625245010391938E-2</v>
      </c>
      <c r="I9" s="1">
        <f t="shared" si="3"/>
        <v>3.793537868682377E-2</v>
      </c>
      <c r="J9" s="1">
        <f t="shared" si="4"/>
        <v>3.1752483044174051E-2</v>
      </c>
      <c r="K9" s="1">
        <f t="shared" si="5"/>
        <v>5.5264884820037372E-2</v>
      </c>
      <c r="L9" s="1">
        <f t="shared" si="14"/>
        <v>0.49124554419980471</v>
      </c>
      <c r="M9" s="1">
        <f t="shared" si="15"/>
        <v>0.39700959607230529</v>
      </c>
      <c r="N9" s="1">
        <f t="shared" si="16"/>
        <v>0.14927004594634652</v>
      </c>
      <c r="O9" s="1">
        <f t="shared" si="17"/>
        <v>0.85531028526430775</v>
      </c>
      <c r="R9" s="1">
        <f t="shared" si="6"/>
        <v>7.3483900616437031E-2</v>
      </c>
      <c r="S9" s="1">
        <f t="shared" si="7"/>
        <v>7.8373439885988147E-2</v>
      </c>
      <c r="T9" s="1">
        <f t="shared" si="8"/>
        <v>4.0821548561068649E-2</v>
      </c>
      <c r="U9" s="1">
        <f t="shared" si="9"/>
        <v>3.9749016274947487E-2</v>
      </c>
      <c r="W9" s="1">
        <f t="shared" si="10"/>
        <v>0.10338091909328379</v>
      </c>
      <c r="X9" s="1">
        <f t="shared" si="11"/>
        <v>9.8018318845428457E-2</v>
      </c>
      <c r="Y9" s="1">
        <f t="shared" si="12"/>
        <v>0.10153375814435622</v>
      </c>
      <c r="Z9" s="1">
        <f t="shared" si="13"/>
        <v>6.6594562102106084E-2</v>
      </c>
    </row>
    <row r="10" spans="1:26" x14ac:dyDescent="0.2">
      <c r="A10">
        <v>27.5</v>
      </c>
      <c r="B10">
        <v>209547</v>
      </c>
      <c r="C10">
        <v>78219</v>
      </c>
      <c r="D10">
        <v>61059</v>
      </c>
      <c r="E10">
        <v>3928</v>
      </c>
      <c r="F10">
        <f t="shared" si="0"/>
        <v>287766</v>
      </c>
      <c r="G10" s="1">
        <f t="shared" si="1"/>
        <v>0.24212630496449802</v>
      </c>
      <c r="H10" s="1">
        <f t="shared" si="2"/>
        <v>0.21030966087066408</v>
      </c>
      <c r="I10" s="1">
        <f t="shared" si="3"/>
        <v>0.22624499777678969</v>
      </c>
      <c r="J10" s="1">
        <f t="shared" si="4"/>
        <v>9.9779002718012544E-2</v>
      </c>
      <c r="K10" s="1">
        <f t="shared" si="5"/>
        <v>0.23256298853695909</v>
      </c>
      <c r="L10" s="1">
        <f t="shared" si="14"/>
        <v>0.73337184916430276</v>
      </c>
      <c r="M10" s="1">
        <f t="shared" si="15"/>
        <v>0.6073192569429694</v>
      </c>
      <c r="N10" s="1">
        <f t="shared" si="16"/>
        <v>0.37551504372313621</v>
      </c>
      <c r="O10" s="1">
        <f t="shared" si="17"/>
        <v>0.95508928798232029</v>
      </c>
      <c r="R10" s="1">
        <f t="shared" si="6"/>
        <v>6.2571902969332044E-2</v>
      </c>
      <c r="S10" s="1">
        <f t="shared" si="7"/>
        <v>6.9233516855918054E-2</v>
      </c>
      <c r="T10" s="1">
        <f t="shared" si="8"/>
        <v>4.4889777355139333E-2</v>
      </c>
      <c r="U10" s="1">
        <f t="shared" si="9"/>
        <v>2.6644562419294169E-2</v>
      </c>
      <c r="W10" s="1">
        <f t="shared" si="10"/>
        <v>8.8029361317523439E-2</v>
      </c>
      <c r="X10" s="1">
        <f t="shared" si="11"/>
        <v>8.6587406905269337E-2</v>
      </c>
      <c r="Y10" s="1">
        <f t="shared" si="12"/>
        <v>0.11165249623767332</v>
      </c>
      <c r="Z10" s="1">
        <f t="shared" si="13"/>
        <v>4.4639669934006983E-2</v>
      </c>
    </row>
    <row r="11" spans="1:26" x14ac:dyDescent="0.2">
      <c r="A11">
        <v>32.5</v>
      </c>
      <c r="B11">
        <v>28204</v>
      </c>
      <c r="C11">
        <v>18155</v>
      </c>
      <c r="D11">
        <v>11173</v>
      </c>
      <c r="E11">
        <v>249</v>
      </c>
      <c r="F11">
        <f t="shared" si="0"/>
        <v>46359</v>
      </c>
      <c r="G11" s="1">
        <f t="shared" si="1"/>
        <v>3.2589014899849209E-2</v>
      </c>
      <c r="H11" s="1">
        <f t="shared" si="2"/>
        <v>4.8813867386528931E-2</v>
      </c>
      <c r="I11" s="1">
        <f t="shared" si="3"/>
        <v>4.1399881428783161E-2</v>
      </c>
      <c r="J11" s="1">
        <f t="shared" si="4"/>
        <v>6.3250946223994712E-3</v>
      </c>
      <c r="K11" s="1">
        <f t="shared" si="5"/>
        <v>3.7465814535368624E-2</v>
      </c>
      <c r="L11" s="1">
        <f t="shared" si="14"/>
        <v>0.76596086406415198</v>
      </c>
      <c r="M11" s="1">
        <f t="shared" si="15"/>
        <v>0.65613312432949833</v>
      </c>
      <c r="N11" s="1">
        <f t="shared" si="16"/>
        <v>0.41691492515191936</v>
      </c>
      <c r="O11" s="1">
        <f t="shared" si="17"/>
        <v>0.96141438260471979</v>
      </c>
      <c r="R11" s="1">
        <f t="shared" si="6"/>
        <v>5.1594565284359808E-2</v>
      </c>
      <c r="S11" s="1">
        <f t="shared" si="7"/>
        <v>5.966139092393194E-2</v>
      </c>
      <c r="T11" s="1">
        <f t="shared" si="8"/>
        <v>4.5796611011215883E-2</v>
      </c>
      <c r="U11" s="1">
        <f t="shared" si="9"/>
        <v>1.7860384307500733E-2</v>
      </c>
      <c r="W11" s="1">
        <f t="shared" si="10"/>
        <v>7.258587982634189E-2</v>
      </c>
      <c r="X11" s="1">
        <f t="shared" si="11"/>
        <v>7.4615957227994786E-2</v>
      </c>
      <c r="Y11" s="1">
        <f t="shared" si="12"/>
        <v>0.11390802627900667</v>
      </c>
      <c r="Z11" s="1">
        <f t="shared" si="13"/>
        <v>2.9922865605179306E-2</v>
      </c>
    </row>
    <row r="12" spans="1:26" x14ac:dyDescent="0.2">
      <c r="A12">
        <v>37.5</v>
      </c>
      <c r="B12">
        <v>32251</v>
      </c>
      <c r="C12">
        <v>21040</v>
      </c>
      <c r="D12">
        <v>14684</v>
      </c>
      <c r="E12">
        <v>156</v>
      </c>
      <c r="F12">
        <f t="shared" si="0"/>
        <v>53291</v>
      </c>
      <c r="G12" s="1">
        <f t="shared" si="1"/>
        <v>3.7265221937847003E-2</v>
      </c>
      <c r="H12" s="1">
        <f t="shared" si="2"/>
        <v>5.6570849342471426E-2</v>
      </c>
      <c r="I12" s="1">
        <f t="shared" si="3"/>
        <v>5.4409367126130134E-2</v>
      </c>
      <c r="J12" s="1">
        <f t="shared" si="4"/>
        <v>3.962709883912922E-3</v>
      </c>
      <c r="K12" s="1">
        <f t="shared" si="5"/>
        <v>4.3068028266449433E-2</v>
      </c>
      <c r="L12" s="1">
        <f t="shared" si="14"/>
        <v>0.80322608600199896</v>
      </c>
      <c r="M12" s="1">
        <f t="shared" si="15"/>
        <v>0.7127039736719698</v>
      </c>
      <c r="N12" s="1">
        <f t="shared" si="16"/>
        <v>0.47132429227804951</v>
      </c>
      <c r="O12" s="1">
        <f t="shared" si="17"/>
        <v>0.96537709248863268</v>
      </c>
      <c r="R12" s="1">
        <f t="shared" si="6"/>
        <v>4.1197037276039863E-2</v>
      </c>
      <c r="S12" s="1">
        <f t="shared" si="7"/>
        <v>5.0153339027245586E-2</v>
      </c>
      <c r="T12" s="1">
        <f t="shared" si="8"/>
        <v>4.3345812148718806E-2</v>
      </c>
      <c r="U12" s="1">
        <f t="shared" si="9"/>
        <v>1.1972173631218103E-2</v>
      </c>
      <c r="W12" s="1">
        <f t="shared" si="10"/>
        <v>5.7958104316588412E-2</v>
      </c>
      <c r="X12" s="1">
        <f t="shared" si="11"/>
        <v>6.2724642214081472E-2</v>
      </c>
      <c r="Y12" s="1">
        <f t="shared" si="12"/>
        <v>0.10781225510577494</v>
      </c>
      <c r="Z12" s="1">
        <f t="shared" si="13"/>
        <v>2.0057896649982043E-2</v>
      </c>
    </row>
    <row r="13" spans="1:26" x14ac:dyDescent="0.2">
      <c r="A13">
        <v>42.5</v>
      </c>
      <c r="B13">
        <v>80175</v>
      </c>
      <c r="C13">
        <v>42386</v>
      </c>
      <c r="D13">
        <v>39196</v>
      </c>
      <c r="E13">
        <v>638</v>
      </c>
      <c r="F13">
        <f t="shared" si="0"/>
        <v>122561</v>
      </c>
      <c r="G13" s="1">
        <f t="shared" si="1"/>
        <v>9.2640202439207578E-2</v>
      </c>
      <c r="H13" s="1">
        <f t="shared" si="2"/>
        <v>0.11396444963070312</v>
      </c>
      <c r="I13" s="1">
        <f t="shared" si="3"/>
        <v>0.14523491922335852</v>
      </c>
      <c r="J13" s="1">
        <f t="shared" si="4"/>
        <v>1.6206467345746437E-2</v>
      </c>
      <c r="K13" s="1">
        <f t="shared" si="5"/>
        <v>9.9049757226629426E-2</v>
      </c>
      <c r="L13" s="1">
        <f t="shared" si="14"/>
        <v>0.89586628844120653</v>
      </c>
      <c r="M13" s="1">
        <f t="shared" si="15"/>
        <v>0.82666842330267287</v>
      </c>
      <c r="N13" s="1">
        <f t="shared" si="16"/>
        <v>0.61655921150140802</v>
      </c>
      <c r="O13" s="1">
        <f t="shared" si="17"/>
        <v>0.98158355983437917</v>
      </c>
      <c r="R13" s="1">
        <f t="shared" si="6"/>
        <v>3.1854107671940558E-2</v>
      </c>
      <c r="S13" s="1">
        <f t="shared" si="7"/>
        <v>4.1127832948308615E-2</v>
      </c>
      <c r="T13" s="1">
        <f t="shared" si="8"/>
        <v>3.8061759597330942E-2</v>
      </c>
      <c r="U13" s="1">
        <f t="shared" si="9"/>
        <v>8.0251879796247871E-3</v>
      </c>
      <c r="W13" s="1">
        <f t="shared" si="10"/>
        <v>4.481399191382919E-2</v>
      </c>
      <c r="X13" s="1">
        <f t="shared" si="11"/>
        <v>5.1436826675124121E-2</v>
      </c>
      <c r="Y13" s="1">
        <f t="shared" si="12"/>
        <v>9.466944860562293E-2</v>
      </c>
      <c r="Z13" s="1">
        <f t="shared" si="13"/>
        <v>1.344521020579406E-2</v>
      </c>
    </row>
    <row r="14" spans="1:26" x14ac:dyDescent="0.2">
      <c r="A14">
        <v>47.5</v>
      </c>
      <c r="B14">
        <v>13178</v>
      </c>
      <c r="C14">
        <v>11931</v>
      </c>
      <c r="D14">
        <v>11977</v>
      </c>
      <c r="E14">
        <v>105</v>
      </c>
      <c r="F14">
        <f t="shared" si="0"/>
        <v>25109</v>
      </c>
      <c r="G14" s="1">
        <f t="shared" si="1"/>
        <v>1.5226848615452166E-2</v>
      </c>
      <c r="H14" s="1">
        <f t="shared" si="2"/>
        <v>3.2079220698908111E-2</v>
      </c>
      <c r="I14" s="1">
        <f t="shared" si="3"/>
        <v>4.4378983251815621E-2</v>
      </c>
      <c r="J14" s="1">
        <f t="shared" si="4"/>
        <v>2.6672085757106206E-3</v>
      </c>
      <c r="K14" s="1">
        <f t="shared" si="5"/>
        <v>2.0292265518422975E-2</v>
      </c>
      <c r="L14" s="1">
        <f t="shared" si="14"/>
        <v>0.91109313705665873</v>
      </c>
      <c r="M14" s="1">
        <f t="shared" si="15"/>
        <v>0.85874764400158099</v>
      </c>
      <c r="N14" s="1">
        <f t="shared" si="16"/>
        <v>0.66093819475322368</v>
      </c>
      <c r="O14" s="1">
        <f t="shared" si="17"/>
        <v>0.98425076841008974</v>
      </c>
      <c r="R14" s="1">
        <f t="shared" si="6"/>
        <v>2.385076620929116E-2</v>
      </c>
      <c r="S14" s="1">
        <f t="shared" si="7"/>
        <v>3.2900409121371224E-2</v>
      </c>
      <c r="T14" s="1">
        <f t="shared" si="8"/>
        <v>3.1006910313862043E-2</v>
      </c>
      <c r="U14" s="1">
        <f t="shared" si="9"/>
        <v>5.3794443759467448E-3</v>
      </c>
      <c r="W14" s="1">
        <f t="shared" si="10"/>
        <v>3.3554480792545464E-2</v>
      </c>
      <c r="X14" s="1">
        <f t="shared" si="11"/>
        <v>4.1147138572644876E-2</v>
      </c>
      <c r="Y14" s="1">
        <f t="shared" si="12"/>
        <v>7.7122212252719022E-2</v>
      </c>
      <c r="Z14" s="1">
        <f t="shared" si="13"/>
        <v>9.0125939241067193E-3</v>
      </c>
    </row>
    <row r="15" spans="1:26" x14ac:dyDescent="0.2">
      <c r="A15">
        <v>52.5</v>
      </c>
      <c r="B15">
        <v>5048</v>
      </c>
      <c r="C15">
        <v>5479</v>
      </c>
      <c r="D15">
        <v>6462</v>
      </c>
      <c r="E15">
        <v>34</v>
      </c>
      <c r="F15">
        <f t="shared" si="0"/>
        <v>10527</v>
      </c>
      <c r="G15" s="1">
        <f t="shared" si="1"/>
        <v>5.8328374420096021E-3</v>
      </c>
      <c r="H15" s="1">
        <f t="shared" si="2"/>
        <v>1.4731543894838448E-2</v>
      </c>
      <c r="I15" s="1">
        <f t="shared" si="3"/>
        <v>2.3943975100044465E-2</v>
      </c>
      <c r="J15" s="1">
        <f t="shared" si="4"/>
        <v>8.6366753880153424E-4</v>
      </c>
      <c r="K15" s="1">
        <f t="shared" si="5"/>
        <v>8.5075741412417322E-3</v>
      </c>
      <c r="L15" s="1">
        <f t="shared" si="14"/>
        <v>0.91692597449866831</v>
      </c>
      <c r="M15" s="1">
        <f t="shared" si="15"/>
        <v>0.87347918789641943</v>
      </c>
      <c r="N15" s="1">
        <f t="shared" si="16"/>
        <v>0.68488216985326811</v>
      </c>
      <c r="O15" s="1">
        <f t="shared" si="17"/>
        <v>0.98511443594889125</v>
      </c>
      <c r="R15" s="1">
        <f t="shared" si="6"/>
        <v>1.7293251574345855E-2</v>
      </c>
      <c r="S15" s="1">
        <f t="shared" si="7"/>
        <v>2.567416139577737E-2</v>
      </c>
      <c r="T15" s="1">
        <f t="shared" si="8"/>
        <v>2.3434518687992768E-2</v>
      </c>
      <c r="U15" s="1">
        <f t="shared" si="9"/>
        <v>3.605949401730783E-3</v>
      </c>
      <c r="W15" s="1">
        <f t="shared" si="10"/>
        <v>2.4329032983686688E-2</v>
      </c>
      <c r="X15" s="1">
        <f t="shared" si="11"/>
        <v>3.2109578722602575E-2</v>
      </c>
      <c r="Y15" s="1">
        <f t="shared" si="12"/>
        <v>5.828771412570255E-2</v>
      </c>
      <c r="Z15" s="1">
        <f t="shared" si="13"/>
        <v>6.0413223741077387E-3</v>
      </c>
    </row>
    <row r="16" spans="1:26" x14ac:dyDescent="0.2">
      <c r="A16">
        <v>57.5</v>
      </c>
      <c r="B16">
        <v>50901</v>
      </c>
      <c r="C16">
        <v>28862</v>
      </c>
      <c r="D16">
        <v>46655</v>
      </c>
      <c r="E16">
        <v>473</v>
      </c>
      <c r="F16">
        <f t="shared" si="0"/>
        <v>79763</v>
      </c>
      <c r="G16" s="1">
        <f t="shared" si="1"/>
        <v>5.8814829365239844E-2</v>
      </c>
      <c r="H16" s="1">
        <f t="shared" si="2"/>
        <v>7.7602084302395929E-2</v>
      </c>
      <c r="I16" s="1">
        <f t="shared" si="3"/>
        <v>0.17287312879798428</v>
      </c>
      <c r="J16" s="1">
        <f t="shared" si="4"/>
        <v>1.2015139583915462E-2</v>
      </c>
      <c r="K16" s="1">
        <f t="shared" si="5"/>
        <v>6.4461825422994612E-2</v>
      </c>
      <c r="L16" s="1">
        <f t="shared" si="14"/>
        <v>0.97574080386390816</v>
      </c>
      <c r="M16" s="1">
        <f t="shared" si="15"/>
        <v>0.95108127219881533</v>
      </c>
      <c r="N16" s="1">
        <f t="shared" si="16"/>
        <v>0.85775529865125244</v>
      </c>
      <c r="O16" s="1">
        <f t="shared" si="17"/>
        <v>0.99712957553280668</v>
      </c>
      <c r="R16" s="1">
        <f t="shared" si="6"/>
        <v>1.214194932286798E-2</v>
      </c>
      <c r="S16" s="1">
        <f t="shared" si="7"/>
        <v>1.9544327541395158E-2</v>
      </c>
      <c r="T16" s="1">
        <f t="shared" si="8"/>
        <v>1.6431662158395536E-2</v>
      </c>
      <c r="U16" s="1">
        <f t="shared" si="9"/>
        <v>2.4171401689703637E-3</v>
      </c>
      <c r="W16" s="1">
        <f t="shared" si="10"/>
        <v>1.7081916855967636E-2</v>
      </c>
      <c r="X16" s="1">
        <f t="shared" si="11"/>
        <v>2.4443256942132188E-2</v>
      </c>
      <c r="Y16" s="1">
        <f t="shared" si="12"/>
        <v>4.0869797210275824E-2</v>
      </c>
      <c r="Z16" s="1">
        <f t="shared" si="13"/>
        <v>4.0496194919280365E-3</v>
      </c>
    </row>
    <row r="17" spans="1:26" x14ac:dyDescent="0.2">
      <c r="A17">
        <v>62.5</v>
      </c>
      <c r="B17">
        <v>2808</v>
      </c>
      <c r="C17">
        <v>3129</v>
      </c>
      <c r="D17">
        <v>3670</v>
      </c>
      <c r="E17">
        <v>85</v>
      </c>
      <c r="F17">
        <f t="shared" si="0"/>
        <v>5937</v>
      </c>
      <c r="G17" s="1">
        <f t="shared" si="1"/>
        <v>3.2445736008642951E-3</v>
      </c>
      <c r="H17" s="1">
        <f t="shared" si="2"/>
        <v>8.4130317296859831E-3</v>
      </c>
      <c r="I17" s="1">
        <f t="shared" si="3"/>
        <v>1.3598636431006374E-2</v>
      </c>
      <c r="J17" s="1">
        <f t="shared" si="4"/>
        <v>2.1591688470038355E-3</v>
      </c>
      <c r="K17" s="1">
        <f t="shared" si="5"/>
        <v>4.7980875535814727E-3</v>
      </c>
      <c r="L17" s="1">
        <f t="shared" si="14"/>
        <v>0.97898537746477243</v>
      </c>
      <c r="M17" s="1">
        <f t="shared" si="15"/>
        <v>0.95949430392850132</v>
      </c>
      <c r="N17" s="1">
        <f t="shared" si="16"/>
        <v>0.87135393508225878</v>
      </c>
      <c r="O17" s="1">
        <f t="shared" si="17"/>
        <v>0.99928874437981052</v>
      </c>
      <c r="R17" s="1">
        <f t="shared" si="6"/>
        <v>8.2553901869303736E-3</v>
      </c>
      <c r="S17" s="1">
        <f t="shared" si="7"/>
        <v>1.4513584791431534E-2</v>
      </c>
      <c r="T17" s="1">
        <f t="shared" si="8"/>
        <v>1.068894567545726E-2</v>
      </c>
      <c r="U17" s="1">
        <f t="shared" si="9"/>
        <v>1.6202575093388081E-3</v>
      </c>
      <c r="W17" s="1">
        <f t="shared" si="10"/>
        <v>1.1614106189779974E-2</v>
      </c>
      <c r="X17" s="1">
        <f t="shared" si="11"/>
        <v>1.8151521532628733E-2</v>
      </c>
      <c r="Y17" s="1">
        <f t="shared" si="12"/>
        <v>2.6586174784782063E-2</v>
      </c>
      <c r="Z17" s="1">
        <f t="shared" si="13"/>
        <v>2.7145411242560247E-3</v>
      </c>
    </row>
    <row r="18" spans="1:26" x14ac:dyDescent="0.2">
      <c r="A18">
        <v>67.5</v>
      </c>
      <c r="B18">
        <v>3897</v>
      </c>
      <c r="C18">
        <v>2935</v>
      </c>
      <c r="D18">
        <v>6044</v>
      </c>
      <c r="E18">
        <v>28</v>
      </c>
      <c r="F18">
        <f t="shared" si="0"/>
        <v>6832</v>
      </c>
      <c r="G18" s="1">
        <f t="shared" si="1"/>
        <v>4.5028857986353843E-3</v>
      </c>
      <c r="H18" s="1">
        <f t="shared" si="2"/>
        <v>7.8914183849882902E-3</v>
      </c>
      <c r="I18" s="1">
        <f t="shared" si="3"/>
        <v>2.2395138580109678E-2</v>
      </c>
      <c r="J18" s="1">
        <f t="shared" si="4"/>
        <v>7.1125562018949887E-4</v>
      </c>
      <c r="K18" s="1">
        <f t="shared" si="5"/>
        <v>5.5213970298245959E-3</v>
      </c>
      <c r="L18" s="1">
        <f t="shared" si="14"/>
        <v>0.98348826326340777</v>
      </c>
      <c r="M18" s="1">
        <f t="shared" si="15"/>
        <v>0.96738572231348963</v>
      </c>
      <c r="N18" s="1">
        <f t="shared" si="16"/>
        <v>0.89374907366236844</v>
      </c>
      <c r="O18" s="1">
        <f t="shared" si="17"/>
        <v>1</v>
      </c>
      <c r="R18" s="1">
        <f t="shared" si="6"/>
        <v>5.4353088386318383E-3</v>
      </c>
      <c r="S18" s="1">
        <f t="shared" si="7"/>
        <v>1.0513762287421924E-2</v>
      </c>
      <c r="T18" s="1">
        <f t="shared" si="8"/>
        <v>6.4508383105752057E-3</v>
      </c>
      <c r="U18" s="1">
        <f t="shared" si="9"/>
        <v>1.0860910882495795E-3</v>
      </c>
      <c r="W18" s="1">
        <f t="shared" si="10"/>
        <v>7.6466711562657537E-3</v>
      </c>
      <c r="X18" s="1">
        <f t="shared" si="11"/>
        <v>1.3149114108717422E-2</v>
      </c>
      <c r="Y18" s="1">
        <f t="shared" si="12"/>
        <v>1.6044904711893761E-2</v>
      </c>
      <c r="Z18" s="1">
        <f t="shared" si="13"/>
        <v>1.8196113313769338E-3</v>
      </c>
    </row>
    <row r="19" spans="1:26" x14ac:dyDescent="0.2">
      <c r="A19">
        <v>72.5</v>
      </c>
      <c r="B19">
        <v>7512</v>
      </c>
      <c r="C19">
        <v>6167</v>
      </c>
      <c r="D19">
        <v>12775</v>
      </c>
      <c r="E19">
        <v>0</v>
      </c>
      <c r="F19">
        <f t="shared" si="0"/>
        <v>13679</v>
      </c>
      <c r="G19" s="1">
        <f t="shared" si="1"/>
        <v>8.6799276672694398E-3</v>
      </c>
      <c r="H19" s="1">
        <f t="shared" si="2"/>
        <v>1.6581389158508614E-2</v>
      </c>
      <c r="I19" s="1">
        <f t="shared" si="3"/>
        <v>4.7335852971691121E-2</v>
      </c>
      <c r="J19" s="1">
        <f t="shared" si="4"/>
        <v>0</v>
      </c>
      <c r="K19" s="1">
        <f t="shared" si="5"/>
        <v>1.1054916564837623E-2</v>
      </c>
      <c r="L19" s="1">
        <f t="shared" si="14"/>
        <v>0.99216819093067721</v>
      </c>
      <c r="M19" s="1">
        <f t="shared" si="15"/>
        <v>0.98396711147199822</v>
      </c>
      <c r="N19" s="1">
        <f t="shared" si="16"/>
        <v>0.94108492663405952</v>
      </c>
      <c r="O19" s="1">
        <f t="shared" si="17"/>
        <v>1</v>
      </c>
      <c r="R19" s="1">
        <f t="shared" si="6"/>
        <v>3.4653593750054328E-3</v>
      </c>
      <c r="S19" s="1">
        <f t="shared" si="7"/>
        <v>7.4296971167579998E-3</v>
      </c>
      <c r="T19" s="1">
        <f t="shared" si="8"/>
        <v>3.6118138330685778E-3</v>
      </c>
      <c r="U19" s="1">
        <f t="shared" si="9"/>
        <v>7.2802862827435618E-4</v>
      </c>
      <c r="W19" s="1">
        <f t="shared" si="10"/>
        <v>4.8752452465275712E-3</v>
      </c>
      <c r="X19" s="1">
        <f t="shared" si="11"/>
        <v>9.292005326992727E-3</v>
      </c>
      <c r="Y19" s="1">
        <f t="shared" si="12"/>
        <v>8.9835159398868464E-3</v>
      </c>
      <c r="Z19" s="1">
        <f t="shared" si="13"/>
        <v>1.2197219514155579E-3</v>
      </c>
    </row>
    <row r="20" spans="1:26" x14ac:dyDescent="0.2">
      <c r="A20">
        <v>77.5</v>
      </c>
      <c r="B20">
        <v>1428</v>
      </c>
      <c r="C20">
        <v>1550</v>
      </c>
      <c r="D20">
        <v>2972</v>
      </c>
      <c r="E20">
        <v>0</v>
      </c>
      <c r="F20">
        <f t="shared" si="0"/>
        <v>2978</v>
      </c>
      <c r="G20" s="1">
        <f t="shared" si="1"/>
        <v>1.6500181987301331E-3</v>
      </c>
      <c r="H20" s="1">
        <f t="shared" si="2"/>
        <v>4.1675293004197105E-3</v>
      </c>
      <c r="I20" s="1">
        <f t="shared" si="3"/>
        <v>1.1012301763746851E-2</v>
      </c>
      <c r="J20" s="1">
        <f t="shared" si="4"/>
        <v>0</v>
      </c>
      <c r="K20" s="1">
        <f t="shared" si="5"/>
        <v>2.4067213634100769E-3</v>
      </c>
      <c r="L20" s="1">
        <f t="shared" si="14"/>
        <v>0.99381820912940733</v>
      </c>
      <c r="M20" s="1">
        <f t="shared" si="15"/>
        <v>0.98813464077241797</v>
      </c>
      <c r="N20" s="1">
        <f t="shared" si="16"/>
        <v>0.95209722839780642</v>
      </c>
      <c r="O20" s="1">
        <f t="shared" si="17"/>
        <v>1</v>
      </c>
      <c r="R20" s="1">
        <f t="shared" si="6"/>
        <v>2.1394875612384245E-3</v>
      </c>
      <c r="S20" s="1">
        <f t="shared" si="7"/>
        <v>5.1216932281071079E-3</v>
      </c>
      <c r="T20" s="1">
        <f t="shared" si="8"/>
        <v>1.8761280271295741E-3</v>
      </c>
      <c r="U20" s="1">
        <f t="shared" si="9"/>
        <v>4.8801218362012964E-4</v>
      </c>
      <c r="W20" s="1">
        <f t="shared" si="10"/>
        <v>3.0099407981073081E-3</v>
      </c>
      <c r="X20" s="1">
        <f t="shared" si="11"/>
        <v>6.4054832937201081E-3</v>
      </c>
      <c r="Y20" s="1">
        <f t="shared" si="12"/>
        <v>4.6664160490984471E-3</v>
      </c>
      <c r="Z20" s="1">
        <f t="shared" si="13"/>
        <v>8.1760407462355634E-4</v>
      </c>
    </row>
    <row r="21" spans="1:26" x14ac:dyDescent="0.2">
      <c r="A21">
        <v>82.5</v>
      </c>
      <c r="B21">
        <v>1032</v>
      </c>
      <c r="C21">
        <v>757</v>
      </c>
      <c r="D21">
        <v>1680</v>
      </c>
      <c r="E21">
        <v>0</v>
      </c>
      <c r="F21">
        <f t="shared" si="0"/>
        <v>1789</v>
      </c>
      <c r="G21" s="1">
        <f t="shared" si="1"/>
        <v>1.1924501268133735E-3</v>
      </c>
      <c r="H21" s="1">
        <f t="shared" si="2"/>
        <v>2.0353675357533685E-3</v>
      </c>
      <c r="I21" s="1">
        <f t="shared" si="3"/>
        <v>6.2249888839484213E-3</v>
      </c>
      <c r="J21" s="1">
        <f t="shared" si="4"/>
        <v>0</v>
      </c>
      <c r="K21" s="1">
        <f t="shared" si="5"/>
        <v>1.4458107854736829E-3</v>
      </c>
      <c r="L21" s="1">
        <f t="shared" si="14"/>
        <v>0.99501065925622068</v>
      </c>
      <c r="M21" s="1">
        <f t="shared" si="15"/>
        <v>0.99017000830817137</v>
      </c>
      <c r="N21" s="1">
        <f t="shared" si="16"/>
        <v>0.95832221728175482</v>
      </c>
      <c r="O21" s="1">
        <f t="shared" si="17"/>
        <v>1</v>
      </c>
      <c r="R21" s="1">
        <f t="shared" si="6"/>
        <v>1.2791123272204361E-3</v>
      </c>
      <c r="S21" s="1">
        <f t="shared" si="7"/>
        <v>3.4441773927083568E-3</v>
      </c>
      <c r="T21" s="1">
        <f t="shared" si="8"/>
        <v>9.041229628339374E-4</v>
      </c>
      <c r="U21" s="1">
        <f t="shared" si="9"/>
        <v>3.2712434939019796E-4</v>
      </c>
      <c r="W21" s="1">
        <f t="shared" si="10"/>
        <v>1.7995208052689986E-3</v>
      </c>
      <c r="X21" s="1">
        <f t="shared" si="11"/>
        <v>4.3074857800016004E-3</v>
      </c>
      <c r="Y21" s="1">
        <f t="shared" si="12"/>
        <v>2.2487878455617464E-3</v>
      </c>
      <c r="Z21" s="1">
        <f t="shared" si="13"/>
        <v>5.4805640094058824E-4</v>
      </c>
    </row>
    <row r="22" spans="1:26" x14ac:dyDescent="0.2">
      <c r="A22">
        <v>87.5</v>
      </c>
      <c r="B22">
        <v>4054</v>
      </c>
      <c r="C22">
        <v>3181</v>
      </c>
      <c r="D22">
        <v>10438</v>
      </c>
      <c r="E22">
        <v>0</v>
      </c>
      <c r="F22">
        <f t="shared" si="0"/>
        <v>7235</v>
      </c>
      <c r="G22" s="1">
        <f t="shared" si="1"/>
        <v>4.6842953625013724E-3</v>
      </c>
      <c r="H22" s="1">
        <f t="shared" si="2"/>
        <v>8.552845615893612E-3</v>
      </c>
      <c r="I22" s="1">
        <f t="shared" si="3"/>
        <v>3.8676448792055729E-2</v>
      </c>
      <c r="J22" s="1">
        <f t="shared" si="4"/>
        <v>0</v>
      </c>
      <c r="K22" s="1">
        <f t="shared" si="5"/>
        <v>5.8470883358871413E-3</v>
      </c>
      <c r="L22" s="1">
        <f t="shared" si="14"/>
        <v>0.99969495461872204</v>
      </c>
      <c r="M22" s="1">
        <f t="shared" si="15"/>
        <v>0.99872285392406501</v>
      </c>
      <c r="N22" s="1">
        <f t="shared" si="16"/>
        <v>0.9969986660738106</v>
      </c>
      <c r="O22" s="1">
        <f t="shared" si="17"/>
        <v>1</v>
      </c>
      <c r="R22" s="1">
        <f t="shared" si="6"/>
        <v>7.4053405509575928E-4</v>
      </c>
      <c r="S22" s="1">
        <f t="shared" si="7"/>
        <v>2.2593679205511088E-3</v>
      </c>
      <c r="T22" s="1">
        <f t="shared" si="8"/>
        <v>4.0422246080812693E-4</v>
      </c>
      <c r="U22" s="1">
        <f t="shared" si="9"/>
        <v>2.192780089426162E-4</v>
      </c>
      <c r="W22" s="1">
        <f t="shared" si="10"/>
        <v>1.0418212777691281E-3</v>
      </c>
      <c r="X22" s="1">
        <f t="shared" si="11"/>
        <v>2.825695102165657E-3</v>
      </c>
      <c r="Y22" s="1">
        <f t="shared" si="12"/>
        <v>1.0054058951440828E-3</v>
      </c>
      <c r="Z22" s="1">
        <f t="shared" si="13"/>
        <v>3.6737319190862213E-4</v>
      </c>
    </row>
    <row r="23" spans="1:26" x14ac:dyDescent="0.2">
      <c r="A23">
        <v>92.5</v>
      </c>
      <c r="B23">
        <v>264</v>
      </c>
      <c r="C23">
        <v>475</v>
      </c>
      <c r="D23">
        <v>810</v>
      </c>
      <c r="E23">
        <v>0</v>
      </c>
      <c r="F23">
        <f t="shared" si="0"/>
        <v>739</v>
      </c>
      <c r="G23" s="1">
        <f t="shared" si="1"/>
        <v>3.0504538127783975E-4</v>
      </c>
      <c r="H23" s="1">
        <f t="shared" si="2"/>
        <v>1.2771460759350725E-3</v>
      </c>
      <c r="I23" s="1">
        <f t="shared" si="3"/>
        <v>3.0013339261894174E-3</v>
      </c>
      <c r="J23" s="1">
        <f t="shared" si="4"/>
        <v>0</v>
      </c>
      <c r="K23" s="1">
        <f t="shared" si="5"/>
        <v>5.9723542228342741E-4</v>
      </c>
      <c r="L23" s="1">
        <f t="shared" si="14"/>
        <v>0.99999999999999989</v>
      </c>
      <c r="M23" s="1">
        <f t="shared" si="15"/>
        <v>1</v>
      </c>
      <c r="N23" s="1">
        <f t="shared" si="16"/>
        <v>1</v>
      </c>
      <c r="O23" s="1">
        <f t="shared" si="17"/>
        <v>1</v>
      </c>
      <c r="R23" s="1">
        <f t="shared" si="6"/>
        <v>4.1516316929334163E-4</v>
      </c>
      <c r="S23" s="1">
        <f t="shared" si="7"/>
        <v>1.4458322292797746E-3</v>
      </c>
      <c r="T23" s="1">
        <f t="shared" si="8"/>
        <v>1.6766456926108867E-4</v>
      </c>
      <c r="U23" s="1">
        <f t="shared" si="9"/>
        <v>1.469864450490177E-4</v>
      </c>
      <c r="W23" s="1">
        <f t="shared" si="10"/>
        <v>5.8407283303120959E-4</v>
      </c>
      <c r="X23" s="1">
        <f t="shared" si="11"/>
        <v>1.8082407082386897E-3</v>
      </c>
      <c r="Y23" s="1">
        <f t="shared" si="12"/>
        <v>4.1702518460968904E-4</v>
      </c>
      <c r="Z23" s="1">
        <f t="shared" si="13"/>
        <v>2.4625761491244718E-4</v>
      </c>
    </row>
    <row r="24" spans="1:26" x14ac:dyDescent="0.2">
      <c r="B24">
        <f t="shared" ref="B24:K24" si="18">SUM(B5:B23)</f>
        <v>865445</v>
      </c>
      <c r="C24">
        <f t="shared" si="18"/>
        <v>371923</v>
      </c>
      <c r="D24">
        <f t="shared" si="18"/>
        <v>269880</v>
      </c>
      <c r="E24">
        <f t="shared" si="18"/>
        <v>39367</v>
      </c>
      <c r="F24">
        <f t="shared" si="18"/>
        <v>1237368</v>
      </c>
      <c r="G24">
        <f t="shared" si="18"/>
        <v>0.99999999999999989</v>
      </c>
      <c r="H24">
        <f t="shared" si="18"/>
        <v>1</v>
      </c>
      <c r="I24">
        <f t="shared" si="18"/>
        <v>1</v>
      </c>
      <c r="J24">
        <f t="shared" si="18"/>
        <v>1</v>
      </c>
      <c r="K24">
        <f t="shared" si="18"/>
        <v>0.99999999999999978</v>
      </c>
      <c r="R24">
        <f>SUM(R5:R23)</f>
        <v>0.71080719015595373</v>
      </c>
      <c r="S24">
        <f>SUM(S5:S23)</f>
        <v>0.7995795154330323</v>
      </c>
      <c r="T24">
        <f>SUM(T5:T23)</f>
        <v>0.40204902593116243</v>
      </c>
      <c r="U24">
        <f>SUM(U5:U23)</f>
        <v>0.59688081158942563</v>
      </c>
    </row>
    <row r="51" spans="1:25" x14ac:dyDescent="0.2">
      <c r="A51" t="s">
        <v>113</v>
      </c>
    </row>
    <row r="52" spans="1:25" x14ac:dyDescent="0.2">
      <c r="B52" t="s">
        <v>114</v>
      </c>
      <c r="G52" t="s">
        <v>115</v>
      </c>
      <c r="L52" t="s">
        <v>15</v>
      </c>
    </row>
    <row r="53" spans="1:25" x14ac:dyDescent="0.2">
      <c r="B53" t="s">
        <v>19</v>
      </c>
      <c r="C53" t="s">
        <v>57</v>
      </c>
      <c r="D53" t="s">
        <v>58</v>
      </c>
      <c r="G53" t="s">
        <v>19</v>
      </c>
      <c r="H53" t="s">
        <v>57</v>
      </c>
      <c r="I53" t="s">
        <v>58</v>
      </c>
      <c r="L53" t="s">
        <v>19</v>
      </c>
      <c r="M53" t="s">
        <v>57</v>
      </c>
      <c r="N53" t="s">
        <v>58</v>
      </c>
      <c r="R53" t="s">
        <v>110</v>
      </c>
    </row>
    <row r="54" spans="1:25" x14ac:dyDescent="0.2">
      <c r="A54">
        <v>2.5</v>
      </c>
      <c r="B54">
        <v>255484</v>
      </c>
      <c r="C54">
        <v>435268</v>
      </c>
      <c r="D54">
        <v>878</v>
      </c>
      <c r="G54" s="1">
        <f t="shared" ref="G54:G72" si="19">B54/B$73</f>
        <v>0.25278101263192682</v>
      </c>
      <c r="H54" s="1">
        <f t="shared" ref="H54:H72" si="20">C54/C$73</f>
        <v>0.23204986586712956</v>
      </c>
      <c r="I54" s="1">
        <f t="shared" ref="I54:I72" si="21">D54/D$73</f>
        <v>7.4196765088647386E-3</v>
      </c>
      <c r="L54" s="1">
        <f>G54</f>
        <v>0.25278101263192682</v>
      </c>
      <c r="M54" s="1">
        <f>H54</f>
        <v>0.23204986586712956</v>
      </c>
      <c r="N54" s="1">
        <f>I54</f>
        <v>7.4196765088647386E-3</v>
      </c>
      <c r="R54" s="1">
        <f t="shared" ref="R54:R72" si="22">EXP(3.29-0.076*$A54)/100</f>
        <v>0.22197951281441636</v>
      </c>
      <c r="S54" s="1">
        <f t="shared" ref="S54:S72" si="23">EXP(3.23-0.074*$A54)/100</f>
        <v>0.21010031202879509</v>
      </c>
      <c r="T54" s="1">
        <f t="shared" ref="T54:T72" si="24">EXP(1.8-0.000301*$A54*$A54)/100</f>
        <v>6.0382772635690453E-2</v>
      </c>
      <c r="W54" s="1">
        <f t="shared" ref="W54:W72" si="25">R54/R$73</f>
        <v>0.31637011120028202</v>
      </c>
      <c r="X54" s="1">
        <f t="shared" ref="X54:X72" si="26">S54/S$73</f>
        <v>0.30953959078388255</v>
      </c>
      <c r="Y54" s="1">
        <f t="shared" ref="Y54:Y72" si="27">T54/T$73</f>
        <v>9.9660801470024235E-2</v>
      </c>
    </row>
    <row r="55" spans="1:25" x14ac:dyDescent="0.2">
      <c r="A55">
        <v>7.5</v>
      </c>
      <c r="B55">
        <v>233873</v>
      </c>
      <c r="C55">
        <v>432250</v>
      </c>
      <c r="D55">
        <v>4643</v>
      </c>
      <c r="G55" s="1">
        <f t="shared" si="19"/>
        <v>0.23139865419073843</v>
      </c>
      <c r="H55" s="1">
        <f t="shared" si="20"/>
        <v>0.23044091116522866</v>
      </c>
      <c r="I55" s="1">
        <f t="shared" si="21"/>
        <v>3.923639866817652E-2</v>
      </c>
      <c r="L55" s="1">
        <f t="shared" ref="L55:L72" si="28">G55+L54</f>
        <v>0.48417966682266522</v>
      </c>
      <c r="M55" s="1">
        <f t="shared" ref="M55:M72" si="29">H55+M54</f>
        <v>0.46249077703235819</v>
      </c>
      <c r="N55" s="1">
        <f t="shared" ref="N55:N72" si="30">I55+N54</f>
        <v>4.6656075177041262E-2</v>
      </c>
      <c r="R55" s="1">
        <f t="shared" si="22"/>
        <v>0.151803222449539</v>
      </c>
      <c r="S55" s="1">
        <f t="shared" si="23"/>
        <v>0.14512349839590913</v>
      </c>
      <c r="T55" s="1">
        <f t="shared" si="24"/>
        <v>5.9480816154595779E-2</v>
      </c>
      <c r="W55" s="1">
        <f t="shared" si="25"/>
        <v>0.21635331007809463</v>
      </c>
      <c r="X55" s="1">
        <f t="shared" si="26"/>
        <v>0.21380962204586579</v>
      </c>
      <c r="Y55" s="1">
        <f t="shared" si="27"/>
        <v>9.8172136708978688E-2</v>
      </c>
    </row>
    <row r="56" spans="1:25" x14ac:dyDescent="0.2">
      <c r="A56">
        <v>12.5</v>
      </c>
      <c r="B56">
        <v>191255</v>
      </c>
      <c r="C56">
        <v>374785</v>
      </c>
      <c r="D56">
        <v>11776</v>
      </c>
      <c r="G56" s="1">
        <f t="shared" si="19"/>
        <v>0.18923154706721032</v>
      </c>
      <c r="H56" s="1">
        <f t="shared" si="20"/>
        <v>0.19980519812853725</v>
      </c>
      <c r="I56" s="1">
        <f t="shared" si="21"/>
        <v>9.95149323102405E-2</v>
      </c>
      <c r="L56" s="1">
        <f t="shared" si="28"/>
        <v>0.67341121388987557</v>
      </c>
      <c r="M56" s="1">
        <f t="shared" si="29"/>
        <v>0.66229597516089544</v>
      </c>
      <c r="N56" s="1">
        <f t="shared" si="30"/>
        <v>0.14617100748728176</v>
      </c>
      <c r="R56" s="1">
        <f t="shared" si="22"/>
        <v>0.10381236562731842</v>
      </c>
      <c r="S56" s="1">
        <f t="shared" si="23"/>
        <v>0.10024178252424953</v>
      </c>
      <c r="T56" s="1">
        <f t="shared" si="24"/>
        <v>5.7717120368415351E-2</v>
      </c>
      <c r="W56" s="1">
        <f t="shared" si="25"/>
        <v>0.14795567951776351</v>
      </c>
      <c r="X56" s="1">
        <f t="shared" si="26"/>
        <v>0.14768564616767693</v>
      </c>
      <c r="Y56" s="1">
        <f t="shared" si="27"/>
        <v>9.5261184993320758E-2</v>
      </c>
    </row>
    <row r="57" spans="1:25" x14ac:dyDescent="0.2">
      <c r="A57">
        <v>17.5</v>
      </c>
      <c r="B57">
        <v>99316</v>
      </c>
      <c r="C57">
        <v>194525</v>
      </c>
      <c r="D57">
        <v>10752</v>
      </c>
      <c r="G57" s="1">
        <f t="shared" si="19"/>
        <v>9.8265249685117045E-2</v>
      </c>
      <c r="H57" s="1">
        <f t="shared" si="20"/>
        <v>0.10370507401831372</v>
      </c>
      <c r="I57" s="1">
        <f t="shared" si="21"/>
        <v>9.0861459935436983E-2</v>
      </c>
      <c r="L57" s="1">
        <f t="shared" si="28"/>
        <v>0.77167646357499264</v>
      </c>
      <c r="M57" s="1">
        <f t="shared" si="29"/>
        <v>0.76600104917920919</v>
      </c>
      <c r="N57" s="1">
        <f t="shared" si="30"/>
        <v>0.23703246742271875</v>
      </c>
      <c r="R57" s="1">
        <f t="shared" si="22"/>
        <v>7.0993270651566326E-2</v>
      </c>
      <c r="S57" s="1">
        <f t="shared" si="23"/>
        <v>6.924044055378277E-2</v>
      </c>
      <c r="T57" s="1">
        <f t="shared" si="24"/>
        <v>5.5169145738318326E-2</v>
      </c>
      <c r="W57" s="1">
        <f t="shared" si="25"/>
        <v>0.10118117949598948</v>
      </c>
      <c r="X57" s="1">
        <f t="shared" si="26"/>
        <v>0.10201154595037551</v>
      </c>
      <c r="Y57" s="1">
        <f t="shared" si="27"/>
        <v>9.1055793576586344E-2</v>
      </c>
    </row>
    <row r="58" spans="1:25" x14ac:dyDescent="0.2">
      <c r="A58">
        <v>22.5</v>
      </c>
      <c r="B58">
        <v>33422</v>
      </c>
      <c r="C58">
        <v>63467</v>
      </c>
      <c r="D58">
        <v>4642</v>
      </c>
      <c r="G58" s="1">
        <f t="shared" si="19"/>
        <v>3.306839960304464E-2</v>
      </c>
      <c r="H58" s="1">
        <f t="shared" si="20"/>
        <v>3.3835496376919766E-2</v>
      </c>
      <c r="I58" s="1">
        <f t="shared" si="21"/>
        <v>3.9227948011560501E-2</v>
      </c>
      <c r="L58" s="1">
        <f t="shared" si="28"/>
        <v>0.80474486317803728</v>
      </c>
      <c r="M58" s="1">
        <f t="shared" si="29"/>
        <v>0.79983654555612893</v>
      </c>
      <c r="N58" s="1">
        <f t="shared" si="30"/>
        <v>0.27626041543427926</v>
      </c>
      <c r="R58" s="1">
        <f t="shared" si="22"/>
        <v>4.8549558112374339E-2</v>
      </c>
      <c r="S58" s="1">
        <f t="shared" si="23"/>
        <v>4.7826749358952689E-2</v>
      </c>
      <c r="T58" s="1">
        <f t="shared" si="24"/>
        <v>5.1945954574585541E-2</v>
      </c>
      <c r="W58" s="1">
        <f t="shared" si="25"/>
        <v>6.91939039958957E-2</v>
      </c>
      <c r="X58" s="1">
        <f t="shared" si="26"/>
        <v>7.0462876909314381E-2</v>
      </c>
      <c r="Y58" s="1">
        <f t="shared" si="27"/>
        <v>8.5735968059351936E-2</v>
      </c>
    </row>
    <row r="59" spans="1:25" x14ac:dyDescent="0.2">
      <c r="A59">
        <v>27.5</v>
      </c>
      <c r="B59">
        <v>115020</v>
      </c>
      <c r="C59">
        <v>224443</v>
      </c>
      <c r="D59">
        <v>30923</v>
      </c>
      <c r="G59" s="1">
        <f t="shared" si="19"/>
        <v>0.11380310341518146</v>
      </c>
      <c r="H59" s="1">
        <f t="shared" si="20"/>
        <v>0.1196549437239038</v>
      </c>
      <c r="I59" s="1">
        <f t="shared" si="21"/>
        <v>0.26131965453715755</v>
      </c>
      <c r="L59" s="1">
        <f t="shared" si="28"/>
        <v>0.9185479665932188</v>
      </c>
      <c r="M59" s="1">
        <f t="shared" si="29"/>
        <v>0.91949148928003277</v>
      </c>
      <c r="N59" s="1">
        <f t="shared" si="30"/>
        <v>0.53758006997143681</v>
      </c>
      <c r="R59" s="1">
        <f t="shared" si="22"/>
        <v>3.3201169227365483E-2</v>
      </c>
      <c r="S59" s="1">
        <f t="shared" si="23"/>
        <v>3.3035577705016722E-2</v>
      </c>
      <c r="T59" s="1">
        <f t="shared" si="24"/>
        <v>4.8180474373331991E-2</v>
      </c>
      <c r="W59" s="1">
        <f t="shared" si="25"/>
        <v>4.7319040695537697E-2</v>
      </c>
      <c r="X59" s="1">
        <f t="shared" si="26"/>
        <v>4.8671128116737593E-2</v>
      </c>
      <c r="Y59" s="1">
        <f t="shared" si="27"/>
        <v>7.9521103150107519E-2</v>
      </c>
    </row>
    <row r="60" spans="1:25" x14ac:dyDescent="0.2">
      <c r="A60">
        <v>32.5</v>
      </c>
      <c r="B60">
        <v>11967</v>
      </c>
      <c r="C60">
        <v>21960</v>
      </c>
      <c r="D60">
        <v>4890</v>
      </c>
      <c r="G60" s="1">
        <f t="shared" si="19"/>
        <v>1.1840390702221149E-2</v>
      </c>
      <c r="H60" s="1">
        <f t="shared" si="20"/>
        <v>1.1707304590372287E-2</v>
      </c>
      <c r="I60" s="1">
        <f t="shared" si="21"/>
        <v>4.1323710852333224E-2</v>
      </c>
      <c r="L60" s="1">
        <f t="shared" si="28"/>
        <v>0.93038835729543989</v>
      </c>
      <c r="M60" s="1">
        <f t="shared" si="29"/>
        <v>0.93119879387040505</v>
      </c>
      <c r="N60" s="1">
        <f t="shared" si="30"/>
        <v>0.57890378082377003</v>
      </c>
      <c r="R60" s="1">
        <f t="shared" si="22"/>
        <v>2.2704998375324068E-2</v>
      </c>
      <c r="S60" s="1">
        <f t="shared" si="23"/>
        <v>2.2818807653293041E-2</v>
      </c>
      <c r="T60" s="1">
        <f t="shared" si="24"/>
        <v>4.4020429940849634E-2</v>
      </c>
      <c r="W60" s="1">
        <f t="shared" si="25"/>
        <v>3.2359665852627235E-2</v>
      </c>
      <c r="X60" s="1">
        <f t="shared" si="26"/>
        <v>3.3618819101079667E-2</v>
      </c>
      <c r="Y60" s="1">
        <f t="shared" si="27"/>
        <v>7.2655016281366253E-2</v>
      </c>
    </row>
    <row r="61" spans="1:25" x14ac:dyDescent="0.2">
      <c r="A61">
        <v>37.5</v>
      </c>
      <c r="B61">
        <v>13976</v>
      </c>
      <c r="C61">
        <v>22363</v>
      </c>
      <c r="D61">
        <v>5374</v>
      </c>
      <c r="G61" s="1">
        <f t="shared" si="19"/>
        <v>1.382813574448423E-2</v>
      </c>
      <c r="H61" s="1">
        <f t="shared" si="20"/>
        <v>1.1922151755669193E-2</v>
      </c>
      <c r="I61" s="1">
        <f t="shared" si="21"/>
        <v>4.5413828654486454E-2</v>
      </c>
      <c r="L61" s="1">
        <f t="shared" si="28"/>
        <v>0.94421649303992417</v>
      </c>
      <c r="M61" s="1">
        <f t="shared" si="29"/>
        <v>0.94312094562607429</v>
      </c>
      <c r="N61" s="1">
        <f t="shared" si="30"/>
        <v>0.62431760947825654</v>
      </c>
      <c r="R61" s="1">
        <f t="shared" si="22"/>
        <v>1.552707218511336E-2</v>
      </c>
      <c r="S61" s="1">
        <f t="shared" si="23"/>
        <v>1.5761733830339911E-2</v>
      </c>
      <c r="T61" s="1">
        <f t="shared" si="24"/>
        <v>3.9618803562355913E-2</v>
      </c>
      <c r="W61" s="1">
        <f t="shared" si="25"/>
        <v>2.2129526691618599E-2</v>
      </c>
      <c r="X61" s="1">
        <f t="shared" si="26"/>
        <v>2.3221672508602575E-2</v>
      </c>
      <c r="Y61" s="1">
        <f t="shared" si="27"/>
        <v>6.539020227060649E-2</v>
      </c>
    </row>
    <row r="62" spans="1:25" x14ac:dyDescent="0.2">
      <c r="A62">
        <v>42.5</v>
      </c>
      <c r="B62">
        <v>27945</v>
      </c>
      <c r="C62">
        <v>52755</v>
      </c>
      <c r="D62">
        <v>14247</v>
      </c>
      <c r="G62" s="1">
        <f t="shared" si="19"/>
        <v>2.7649345548054653E-2</v>
      </c>
      <c r="H62" s="1">
        <f t="shared" si="20"/>
        <v>2.8124720112253646E-2</v>
      </c>
      <c r="I62" s="1">
        <f t="shared" si="21"/>
        <v>0.12039650480842362</v>
      </c>
      <c r="L62" s="1">
        <f t="shared" si="28"/>
        <v>0.97186583858797881</v>
      </c>
      <c r="M62" s="1">
        <f t="shared" si="29"/>
        <v>0.97124566573832793</v>
      </c>
      <c r="N62" s="1">
        <f t="shared" si="30"/>
        <v>0.74471411428668022</v>
      </c>
      <c r="R62" s="1">
        <f t="shared" si="22"/>
        <v>1.0618365465453597E-2</v>
      </c>
      <c r="S62" s="1">
        <f t="shared" si="23"/>
        <v>1.0887170666983987E-2</v>
      </c>
      <c r="T62" s="1">
        <f t="shared" si="24"/>
        <v>3.512467387783625E-2</v>
      </c>
      <c r="W62" s="1">
        <f t="shared" si="25"/>
        <v>1.5133529308532741E-2</v>
      </c>
      <c r="X62" s="1">
        <f t="shared" si="26"/>
        <v>1.6040006416509461E-2</v>
      </c>
      <c r="Y62" s="1">
        <f t="shared" si="27"/>
        <v>5.7972713031221632E-2</v>
      </c>
    </row>
    <row r="63" spans="1:25" x14ac:dyDescent="0.2">
      <c r="A63">
        <v>47.5</v>
      </c>
      <c r="B63">
        <v>5356</v>
      </c>
      <c r="C63">
        <v>7458</v>
      </c>
      <c r="D63">
        <v>2776</v>
      </c>
      <c r="G63" s="1">
        <f t="shared" si="19"/>
        <v>5.2993342191941569E-3</v>
      </c>
      <c r="H63" s="1">
        <f t="shared" si="20"/>
        <v>3.9760053567849058E-3</v>
      </c>
      <c r="I63" s="1">
        <f t="shared" si="21"/>
        <v>2.3459022766068923E-2</v>
      </c>
      <c r="L63" s="1">
        <f t="shared" si="28"/>
        <v>0.97716517280717297</v>
      </c>
      <c r="M63" s="1">
        <f t="shared" si="29"/>
        <v>0.97522167109511282</v>
      </c>
      <c r="N63" s="1">
        <f t="shared" si="30"/>
        <v>0.76817313705274914</v>
      </c>
      <c r="R63" s="1">
        <f t="shared" si="22"/>
        <v>7.2614903707369106E-3</v>
      </c>
      <c r="S63" s="1">
        <f t="shared" si="23"/>
        <v>7.5201425431938281E-3</v>
      </c>
      <c r="T63" s="1">
        <f t="shared" si="24"/>
        <v>3.0675179522805459E-2</v>
      </c>
      <c r="W63" s="1">
        <f t="shared" si="25"/>
        <v>1.034923667928969E-2</v>
      </c>
      <c r="X63" s="1">
        <f t="shared" si="26"/>
        <v>1.1079383095526538E-2</v>
      </c>
      <c r="Y63" s="1">
        <f t="shared" si="27"/>
        <v>5.0628893689997595E-2</v>
      </c>
    </row>
    <row r="64" spans="1:25" x14ac:dyDescent="0.2">
      <c r="A64">
        <v>52.5</v>
      </c>
      <c r="B64">
        <v>2304</v>
      </c>
      <c r="C64">
        <v>3951</v>
      </c>
      <c r="D64">
        <v>1303</v>
      </c>
      <c r="G64" s="1">
        <f t="shared" si="19"/>
        <v>2.2796239807735879E-3</v>
      </c>
      <c r="H64" s="1">
        <f t="shared" si="20"/>
        <v>2.1063552111366536E-3</v>
      </c>
      <c r="I64" s="1">
        <f t="shared" si="21"/>
        <v>1.1011205570672842E-2</v>
      </c>
      <c r="L64" s="1">
        <f t="shared" si="28"/>
        <v>0.9794447967879466</v>
      </c>
      <c r="M64" s="1">
        <f t="shared" si="29"/>
        <v>0.97732802630624949</v>
      </c>
      <c r="N64" s="1">
        <f t="shared" si="30"/>
        <v>0.77918434262342195</v>
      </c>
      <c r="R64" s="1">
        <f t="shared" si="22"/>
        <v>4.9658530379140964E-3</v>
      </c>
      <c r="S64" s="1">
        <f t="shared" si="23"/>
        <v>5.194420625870483E-3</v>
      </c>
      <c r="T64" s="1">
        <f t="shared" si="24"/>
        <v>2.6389173807448964E-2</v>
      </c>
      <c r="W64" s="1">
        <f t="shared" si="25"/>
        <v>7.0774435797712502E-3</v>
      </c>
      <c r="X64" s="1">
        <f t="shared" si="26"/>
        <v>7.6529102663633461E-3</v>
      </c>
      <c r="Y64" s="1">
        <f t="shared" si="27"/>
        <v>4.355490973641777E-2</v>
      </c>
    </row>
    <row r="65" spans="1:25" x14ac:dyDescent="0.2">
      <c r="A65">
        <v>57.5</v>
      </c>
      <c r="B65">
        <v>13118</v>
      </c>
      <c r="C65">
        <v>26729</v>
      </c>
      <c r="D65">
        <v>15714</v>
      </c>
      <c r="G65" s="1">
        <f t="shared" si="19"/>
        <v>1.29792132724774E-2</v>
      </c>
      <c r="H65" s="1">
        <f t="shared" si="20"/>
        <v>1.4249751566305141E-2</v>
      </c>
      <c r="I65" s="1">
        <f t="shared" si="21"/>
        <v>0.13279361806412357</v>
      </c>
      <c r="L65" s="1">
        <f t="shared" si="28"/>
        <v>0.99242401006042402</v>
      </c>
      <c r="M65" s="1">
        <f t="shared" si="29"/>
        <v>0.99157777787255463</v>
      </c>
      <c r="N65" s="1">
        <f t="shared" si="30"/>
        <v>0.91197796068754555</v>
      </c>
      <c r="R65" s="1">
        <f t="shared" si="22"/>
        <v>3.3959552564493912E-3</v>
      </c>
      <c r="S65" s="1">
        <f t="shared" si="23"/>
        <v>3.5879646540595161E-3</v>
      </c>
      <c r="T65" s="1">
        <f t="shared" si="24"/>
        <v>2.2362911343168437E-2</v>
      </c>
      <c r="W65" s="1">
        <f t="shared" si="25"/>
        <v>4.8399905400833059E-3</v>
      </c>
      <c r="X65" s="1">
        <f t="shared" si="26"/>
        <v>5.2861278502642243E-3</v>
      </c>
      <c r="Y65" s="1">
        <f t="shared" si="27"/>
        <v>3.6909627868693486E-2</v>
      </c>
    </row>
    <row r="66" spans="1:25" x14ac:dyDescent="0.2">
      <c r="A66">
        <v>62.5</v>
      </c>
      <c r="B66">
        <v>1319</v>
      </c>
      <c r="C66">
        <v>1601</v>
      </c>
      <c r="D66">
        <v>995</v>
      </c>
      <c r="G66" s="1">
        <f t="shared" si="19"/>
        <v>1.3050451521876573E-3</v>
      </c>
      <c r="H66" s="1">
        <f t="shared" si="20"/>
        <v>8.5352434650209626E-4</v>
      </c>
      <c r="I66" s="1">
        <f t="shared" si="21"/>
        <v>8.4084033329389699E-3</v>
      </c>
      <c r="L66" s="1">
        <f t="shared" si="28"/>
        <v>0.99372905521261168</v>
      </c>
      <c r="M66" s="1">
        <f t="shared" si="29"/>
        <v>0.99243130221905673</v>
      </c>
      <c r="N66" s="1">
        <f t="shared" si="30"/>
        <v>0.92038636402048457</v>
      </c>
      <c r="R66" s="1">
        <f t="shared" si="22"/>
        <v>2.3223627472975881E-3</v>
      </c>
      <c r="S66" s="1">
        <f t="shared" si="23"/>
        <v>2.4783303636722875E-3</v>
      </c>
      <c r="T66" s="1">
        <f t="shared" si="24"/>
        <v>1.8667869602729523E-2</v>
      </c>
      <c r="W66" s="1">
        <f t="shared" si="25"/>
        <v>3.3098827513158412E-3</v>
      </c>
      <c r="X66" s="1">
        <f t="shared" si="26"/>
        <v>3.6513099823157372E-3</v>
      </c>
      <c r="Y66" s="1">
        <f t="shared" si="27"/>
        <v>3.081102051359377E-2</v>
      </c>
    </row>
    <row r="67" spans="1:25" x14ac:dyDescent="0.2">
      <c r="A67">
        <v>67.5</v>
      </c>
      <c r="B67">
        <v>941</v>
      </c>
      <c r="C67">
        <v>2409</v>
      </c>
      <c r="D67">
        <v>1069</v>
      </c>
      <c r="G67" s="1">
        <f t="shared" si="19"/>
        <v>9.3104434284199059E-4</v>
      </c>
      <c r="H67" s="1">
        <f t="shared" si="20"/>
        <v>1.2842849161296375E-3</v>
      </c>
      <c r="I67" s="1">
        <f t="shared" si="21"/>
        <v>9.0337519225243794E-3</v>
      </c>
      <c r="L67" s="1">
        <f t="shared" si="28"/>
        <v>0.99466009955545365</v>
      </c>
      <c r="M67" s="1">
        <f t="shared" si="29"/>
        <v>0.99371558713518637</v>
      </c>
      <c r="N67" s="1">
        <f t="shared" si="30"/>
        <v>0.929420115943009</v>
      </c>
      <c r="R67" s="1">
        <f t="shared" si="22"/>
        <v>1.588174261069207E-3</v>
      </c>
      <c r="S67" s="1">
        <f t="shared" si="23"/>
        <v>1.711867864849409E-3</v>
      </c>
      <c r="T67" s="1">
        <f t="shared" si="24"/>
        <v>1.5350588974847994E-2</v>
      </c>
      <c r="W67" s="1">
        <f t="shared" si="25"/>
        <v>2.2635010826425211E-3</v>
      </c>
      <c r="X67" s="1">
        <f t="shared" si="26"/>
        <v>2.5220851565843517E-3</v>
      </c>
      <c r="Y67" s="1">
        <f t="shared" si="27"/>
        <v>2.5335901839095395E-2</v>
      </c>
    </row>
    <row r="68" spans="1:25" x14ac:dyDescent="0.2">
      <c r="A68">
        <v>72.5</v>
      </c>
      <c r="B68">
        <v>2347</v>
      </c>
      <c r="C68">
        <v>5000</v>
      </c>
      <c r="D68">
        <v>3444</v>
      </c>
      <c r="G68" s="1">
        <f t="shared" si="19"/>
        <v>2.3221690463869839E-3</v>
      </c>
      <c r="H68" s="1">
        <f t="shared" si="20"/>
        <v>2.6655975843288453E-3</v>
      </c>
      <c r="I68" s="1">
        <f t="shared" si="21"/>
        <v>2.910406138556966E-2</v>
      </c>
      <c r="L68" s="1">
        <f t="shared" si="28"/>
        <v>0.99698226860184058</v>
      </c>
      <c r="M68" s="1">
        <f t="shared" si="29"/>
        <v>0.9963811847195152</v>
      </c>
      <c r="N68" s="1">
        <f t="shared" si="30"/>
        <v>0.95852417732857864</v>
      </c>
      <c r="R68" s="1">
        <f t="shared" si="22"/>
        <v>1.0860910882495801E-3</v>
      </c>
      <c r="S68" s="1">
        <f t="shared" si="23"/>
        <v>1.182445903766355E-3</v>
      </c>
      <c r="T68" s="1">
        <f t="shared" si="24"/>
        <v>1.243423857527334E-2</v>
      </c>
      <c r="W68" s="1">
        <f t="shared" si="25"/>
        <v>1.5479210401296078E-3</v>
      </c>
      <c r="X68" s="1">
        <f t="shared" si="26"/>
        <v>1.7420908024437013E-3</v>
      </c>
      <c r="Y68" s="1">
        <f t="shared" si="27"/>
        <v>2.0522512100558554E-2</v>
      </c>
    </row>
    <row r="69" spans="1:25" x14ac:dyDescent="0.2">
      <c r="A69">
        <v>77.5</v>
      </c>
      <c r="B69">
        <v>917</v>
      </c>
      <c r="C69">
        <v>1499</v>
      </c>
      <c r="D69">
        <v>1170</v>
      </c>
      <c r="G69" s="1">
        <f t="shared" si="19"/>
        <v>9.0729825970893238E-4</v>
      </c>
      <c r="H69" s="1">
        <f t="shared" si="20"/>
        <v>7.9914615578178779E-4</v>
      </c>
      <c r="I69" s="1">
        <f t="shared" si="21"/>
        <v>9.8872682407423057E-3</v>
      </c>
      <c r="L69" s="1">
        <f t="shared" si="28"/>
        <v>0.9978895668615495</v>
      </c>
      <c r="M69" s="1">
        <f t="shared" si="29"/>
        <v>0.99718033087529701</v>
      </c>
      <c r="N69" s="1">
        <f t="shared" si="30"/>
        <v>0.96841144556932091</v>
      </c>
      <c r="R69" s="1">
        <f t="shared" si="22"/>
        <v>7.4273578214333904E-4</v>
      </c>
      <c r="S69" s="1">
        <f t="shared" si="23"/>
        <v>8.1675597985293507E-4</v>
      </c>
      <c r="T69" s="1">
        <f t="shared" si="24"/>
        <v>9.9214972562182441E-3</v>
      </c>
      <c r="W69" s="1">
        <f t="shared" si="25"/>
        <v>1.0585634638524894E-3</v>
      </c>
      <c r="X69" s="1">
        <f t="shared" si="26"/>
        <v>1.203321924335442E-3</v>
      </c>
      <c r="Y69" s="1">
        <f t="shared" si="27"/>
        <v>1.6375272700758954E-2</v>
      </c>
    </row>
    <row r="70" spans="1:25" x14ac:dyDescent="0.2">
      <c r="A70">
        <v>82.5</v>
      </c>
      <c r="B70">
        <v>324</v>
      </c>
      <c r="C70">
        <v>795</v>
      </c>
      <c r="D70">
        <v>245</v>
      </c>
      <c r="G70" s="1">
        <f t="shared" si="19"/>
        <v>3.2057212229628582E-4</v>
      </c>
      <c r="H70" s="1">
        <f t="shared" si="20"/>
        <v>4.2383001590828639E-4</v>
      </c>
      <c r="I70" s="1">
        <f t="shared" si="21"/>
        <v>2.0704108709246709E-3</v>
      </c>
      <c r="L70" s="1">
        <f t="shared" si="28"/>
        <v>0.99821013898384581</v>
      </c>
      <c r="M70" s="1">
        <f t="shared" si="29"/>
        <v>0.99760416089120529</v>
      </c>
      <c r="N70" s="1">
        <f t="shared" si="30"/>
        <v>0.97048185644024554</v>
      </c>
      <c r="R70" s="1">
        <f t="shared" si="22"/>
        <v>5.079283386489852E-4</v>
      </c>
      <c r="S70" s="1">
        <f t="shared" si="23"/>
        <v>5.6416139503777374E-4</v>
      </c>
      <c r="T70" s="1">
        <f t="shared" si="24"/>
        <v>7.7982850410869666E-3</v>
      </c>
      <c r="W70" s="1">
        <f t="shared" si="25"/>
        <v>7.2391070213087614E-4</v>
      </c>
      <c r="X70" s="1">
        <f t="shared" si="26"/>
        <v>8.3117576394709501E-4</v>
      </c>
      <c r="Y70" s="1">
        <f t="shared" si="27"/>
        <v>1.2870944863288013E-2</v>
      </c>
    </row>
    <row r="71" spans="1:25" x14ac:dyDescent="0.2">
      <c r="A71">
        <v>87.5</v>
      </c>
      <c r="B71">
        <v>1552</v>
      </c>
      <c r="C71">
        <v>3999</v>
      </c>
      <c r="D71">
        <v>3005</v>
      </c>
      <c r="G71" s="1">
        <f t="shared" si="19"/>
        <v>1.5355800426044308E-3</v>
      </c>
      <c r="H71" s="1">
        <f t="shared" si="20"/>
        <v>2.1319449479462104E-3</v>
      </c>
      <c r="I71" s="1">
        <f t="shared" si="21"/>
        <v>2.5394223131137289E-2</v>
      </c>
      <c r="L71" s="1">
        <f t="shared" si="28"/>
        <v>0.99974571902645026</v>
      </c>
      <c r="M71" s="1">
        <f t="shared" si="29"/>
        <v>0.99973610583915151</v>
      </c>
      <c r="N71" s="1">
        <f t="shared" si="30"/>
        <v>0.9958760795713828</v>
      </c>
      <c r="R71" s="1">
        <f t="shared" si="22"/>
        <v>3.4735258944738575E-4</v>
      </c>
      <c r="S71" s="1">
        <f t="shared" si="23"/>
        <v>3.896856435728528E-4</v>
      </c>
      <c r="T71" s="1">
        <f t="shared" si="24"/>
        <v>6.0378853497898574E-3</v>
      </c>
      <c r="W71" s="1">
        <f t="shared" si="25"/>
        <v>4.9505459290312697E-4</v>
      </c>
      <c r="X71" s="1">
        <f t="shared" si="26"/>
        <v>5.7412163495198848E-4</v>
      </c>
      <c r="Y71" s="1">
        <f t="shared" si="27"/>
        <v>9.9654332995716723E-3</v>
      </c>
    </row>
    <row r="72" spans="1:25" x14ac:dyDescent="0.2">
      <c r="A72">
        <v>92.5</v>
      </c>
      <c r="B72">
        <v>257</v>
      </c>
      <c r="C72">
        <v>495</v>
      </c>
      <c r="D72">
        <v>488</v>
      </c>
      <c r="G72" s="1">
        <f t="shared" si="19"/>
        <v>2.5428097354983164E-4</v>
      </c>
      <c r="H72" s="1">
        <f t="shared" si="20"/>
        <v>2.638941608485557E-4</v>
      </c>
      <c r="I72" s="1">
        <f t="shared" si="21"/>
        <v>4.1239204286173036E-3</v>
      </c>
      <c r="L72" s="1">
        <f t="shared" si="28"/>
        <v>1</v>
      </c>
      <c r="M72" s="1">
        <f t="shared" si="29"/>
        <v>1</v>
      </c>
      <c r="N72" s="1">
        <f t="shared" si="30"/>
        <v>1</v>
      </c>
      <c r="R72" s="1">
        <f t="shared" si="22"/>
        <v>2.3754103131304997E-4</v>
      </c>
      <c r="S72" s="1">
        <f t="shared" si="23"/>
        <v>2.691692521722812E-4</v>
      </c>
      <c r="T72" s="1">
        <f t="shared" si="24"/>
        <v>4.6050514532730534E-3</v>
      </c>
      <c r="W72" s="1">
        <f t="shared" si="25"/>
        <v>3.3854873153978132E-4</v>
      </c>
      <c r="X72" s="1">
        <f t="shared" si="26"/>
        <v>3.9656552322298537E-4</v>
      </c>
      <c r="Y72" s="1">
        <f t="shared" si="27"/>
        <v>7.6005638464608167E-3</v>
      </c>
    </row>
    <row r="73" spans="1:25" x14ac:dyDescent="0.2">
      <c r="B73">
        <f>SUM(B54:B72)</f>
        <v>1010693</v>
      </c>
      <c r="C73">
        <f>SUM(C54:C72)</f>
        <v>1875752</v>
      </c>
      <c r="D73">
        <f>SUM(D54:D72)</f>
        <v>118334</v>
      </c>
      <c r="R73">
        <f>SUM(R54:R72)</f>
        <v>0.7016450194117404</v>
      </c>
      <c r="S73">
        <f>SUM(S54:S72)</f>
        <v>0.6787510169433707</v>
      </c>
      <c r="T73">
        <f>SUM(T54:T72)</f>
        <v>0.60588287215262115</v>
      </c>
    </row>
    <row r="100" spans="1:26" x14ac:dyDescent="0.2">
      <c r="A100" t="s">
        <v>116</v>
      </c>
      <c r="G100" t="s">
        <v>109</v>
      </c>
      <c r="L100" t="s">
        <v>15</v>
      </c>
    </row>
    <row r="101" spans="1:26" x14ac:dyDescent="0.2">
      <c r="B101" t="s">
        <v>19</v>
      </c>
      <c r="C101" t="s">
        <v>57</v>
      </c>
      <c r="D101" t="s">
        <v>58</v>
      </c>
      <c r="E101" t="s">
        <v>25</v>
      </c>
      <c r="G101" t="s">
        <v>19</v>
      </c>
      <c r="H101" t="s">
        <v>57</v>
      </c>
      <c r="I101" t="s">
        <v>58</v>
      </c>
      <c r="J101" t="s">
        <v>25</v>
      </c>
      <c r="L101" t="s">
        <v>19</v>
      </c>
      <c r="M101" t="s">
        <v>57</v>
      </c>
      <c r="N101" t="s">
        <v>58</v>
      </c>
      <c r="O101" t="s">
        <v>25</v>
      </c>
      <c r="R101" t="s">
        <v>19</v>
      </c>
      <c r="S101" t="s">
        <v>57</v>
      </c>
      <c r="T101" t="s">
        <v>58</v>
      </c>
      <c r="U101" t="s">
        <v>25</v>
      </c>
      <c r="W101" t="s">
        <v>19</v>
      </c>
      <c r="X101" t="s">
        <v>57</v>
      </c>
      <c r="Y101" t="s">
        <v>58</v>
      </c>
      <c r="Z101" t="s">
        <v>25</v>
      </c>
    </row>
    <row r="102" spans="1:26" x14ac:dyDescent="0.2">
      <c r="A102">
        <v>2.5</v>
      </c>
      <c r="B102">
        <v>4343</v>
      </c>
      <c r="C102">
        <v>2105</v>
      </c>
      <c r="D102">
        <v>381</v>
      </c>
      <c r="E102">
        <v>10</v>
      </c>
      <c r="G102" s="1">
        <f t="shared" ref="G102:G119" si="31">B102/B$120</f>
        <v>9.1113162421852051E-2</v>
      </c>
      <c r="H102" s="1">
        <f t="shared" ref="H102:H119" si="32">C102/C$120</f>
        <v>9.5751455604075691E-2</v>
      </c>
      <c r="I102" s="1">
        <f t="shared" ref="I102:I119" si="33">D102/D$120</f>
        <v>4.3167912984364377E-2</v>
      </c>
      <c r="J102" s="1">
        <f t="shared" ref="J102:J119" si="34">E102/E$120</f>
        <v>2.4691358024691357E-2</v>
      </c>
      <c r="L102" s="1">
        <f>G102</f>
        <v>9.1113162421852051E-2</v>
      </c>
      <c r="M102" s="1">
        <f>H102</f>
        <v>9.5751455604075691E-2</v>
      </c>
      <c r="N102" s="1">
        <f>I102</f>
        <v>4.3167912984364377E-2</v>
      </c>
      <c r="O102" s="1">
        <f>J102</f>
        <v>2.4691358024691357E-2</v>
      </c>
      <c r="R102" s="1">
        <f t="shared" ref="R102:R119" si="35">EXP(2.44-0.000705*$A102*$A102)/100</f>
        <v>0.11422598868387332</v>
      </c>
      <c r="S102" s="1">
        <f t="shared" ref="S102:S119" si="36">EXP(2.3-0.000485*$A102*$A102)/100</f>
        <v>9.9439939917533915E-2</v>
      </c>
      <c r="T102" s="1">
        <f t="shared" ref="T102:T119" si="37">EXP(2.14-0.000334*$A102*$A102)/100</f>
        <v>8.4817135587702916E-2</v>
      </c>
      <c r="U102" s="1">
        <v>0</v>
      </c>
      <c r="W102" s="1">
        <f t="shared" ref="W102:W119" si="38">R102/R$120</f>
        <v>0.14925052085171894</v>
      </c>
      <c r="X102" s="1">
        <f t="shared" ref="X102:X119" si="39">S102/S$120</f>
        <v>0.12449855459906992</v>
      </c>
      <c r="Y102" s="1">
        <f t="shared" ref="Y102:Y119" si="40">T102/T$120</f>
        <v>0.10498638470834994</v>
      </c>
      <c r="Z102" s="1">
        <f t="shared" ref="Z102:Z119" si="41">U102/U$120</f>
        <v>0</v>
      </c>
    </row>
    <row r="103" spans="1:26" x14ac:dyDescent="0.2">
      <c r="A103">
        <v>7.5</v>
      </c>
      <c r="B103">
        <v>5178</v>
      </c>
      <c r="C103">
        <v>2790</v>
      </c>
      <c r="D103">
        <v>1182</v>
      </c>
      <c r="E103">
        <v>155</v>
      </c>
      <c r="G103" s="1">
        <f t="shared" si="31"/>
        <v>0.10863088994251668</v>
      </c>
      <c r="H103" s="1">
        <f t="shared" si="32"/>
        <v>0.12691048034934499</v>
      </c>
      <c r="I103" s="1">
        <f t="shared" si="33"/>
        <v>0.13392250169952413</v>
      </c>
      <c r="J103" s="1">
        <f t="shared" si="34"/>
        <v>0.38271604938271603</v>
      </c>
      <c r="L103" s="1">
        <f t="shared" ref="L103:L119" si="42">G103+L102</f>
        <v>0.19974405236436873</v>
      </c>
      <c r="M103" s="1">
        <f t="shared" ref="M103:M119" si="43">H103+M102</f>
        <v>0.22266193595342068</v>
      </c>
      <c r="N103" s="1">
        <f t="shared" ref="N103:N119" si="44">I103+N102</f>
        <v>0.1770904146838885</v>
      </c>
      <c r="O103" s="1">
        <f t="shared" ref="O103:O119" si="45">J103+O102</f>
        <v>0.40740740740740738</v>
      </c>
      <c r="R103" s="1">
        <f t="shared" si="35"/>
        <v>0.11026966248868728</v>
      </c>
      <c r="S103" s="1">
        <f t="shared" si="36"/>
        <v>9.7057524906146456E-2</v>
      </c>
      <c r="T103" s="1">
        <f t="shared" si="37"/>
        <v>8.3412451184043182E-2</v>
      </c>
      <c r="U103" s="1">
        <f t="shared" ref="U103:U119" si="46">EXP(5.15-0.92*(LN($A103+0.000001)))/100</f>
        <v>0.2701221303697105</v>
      </c>
      <c r="W103" s="1">
        <f t="shared" si="38"/>
        <v>0.1440810865391387</v>
      </c>
      <c r="X103" s="1">
        <f t="shared" si="39"/>
        <v>0.12151577699865258</v>
      </c>
      <c r="Y103" s="1">
        <f t="shared" si="40"/>
        <v>0.10324767075421093</v>
      </c>
      <c r="Z103" s="1">
        <f t="shared" si="41"/>
        <v>0.2139868170130374</v>
      </c>
    </row>
    <row r="104" spans="1:26" x14ac:dyDescent="0.2">
      <c r="A104">
        <v>12.5</v>
      </c>
      <c r="B104">
        <v>9036</v>
      </c>
      <c r="C104">
        <v>2903</v>
      </c>
      <c r="D104">
        <v>754</v>
      </c>
      <c r="E104">
        <v>130</v>
      </c>
      <c r="G104" s="1">
        <f t="shared" si="31"/>
        <v>0.18956908488230603</v>
      </c>
      <c r="H104" s="1">
        <f t="shared" si="32"/>
        <v>0.13205058224163027</v>
      </c>
      <c r="I104" s="1">
        <f t="shared" si="33"/>
        <v>8.5429413097665982E-2</v>
      </c>
      <c r="J104" s="1">
        <f t="shared" si="34"/>
        <v>0.32098765432098764</v>
      </c>
      <c r="L104" s="1">
        <f t="shared" si="42"/>
        <v>0.38931313724667477</v>
      </c>
      <c r="M104" s="1">
        <f t="shared" si="43"/>
        <v>0.35471251819505095</v>
      </c>
      <c r="N104" s="1">
        <f t="shared" si="44"/>
        <v>0.26251982778155447</v>
      </c>
      <c r="O104" s="1">
        <f t="shared" si="45"/>
        <v>0.72839506172839497</v>
      </c>
      <c r="R104" s="1">
        <f t="shared" si="35"/>
        <v>0.10276335730135527</v>
      </c>
      <c r="S104" s="1">
        <f t="shared" si="36"/>
        <v>9.2462563436699299E-2</v>
      </c>
      <c r="T104" s="1">
        <f t="shared" si="37"/>
        <v>8.067248742077171E-2</v>
      </c>
      <c r="U104" s="1">
        <f t="shared" si="46"/>
        <v>0.16883377763737686</v>
      </c>
      <c r="W104" s="1">
        <f t="shared" si="38"/>
        <v>0.13427316128684078</v>
      </c>
      <c r="X104" s="1">
        <f t="shared" si="39"/>
        <v>0.11576289679921757</v>
      </c>
      <c r="Y104" s="1">
        <f t="shared" si="40"/>
        <v>9.9856152192017669E-2</v>
      </c>
      <c r="Z104" s="1">
        <f t="shared" si="41"/>
        <v>0.13374765936971286</v>
      </c>
    </row>
    <row r="105" spans="1:26" x14ac:dyDescent="0.2">
      <c r="A105">
        <v>17.5</v>
      </c>
      <c r="B105">
        <v>5144</v>
      </c>
      <c r="C105">
        <v>2498</v>
      </c>
      <c r="D105">
        <v>754</v>
      </c>
      <c r="E105">
        <v>34</v>
      </c>
      <c r="G105" s="1">
        <f t="shared" si="31"/>
        <v>0.10791759325305249</v>
      </c>
      <c r="H105" s="1">
        <f t="shared" si="32"/>
        <v>0.11362809315866085</v>
      </c>
      <c r="I105" s="1">
        <f t="shared" si="33"/>
        <v>8.5429413097665982E-2</v>
      </c>
      <c r="J105" s="1">
        <f t="shared" si="34"/>
        <v>8.3950617283950618E-2</v>
      </c>
      <c r="L105" s="1">
        <f t="shared" si="42"/>
        <v>0.49723073049972727</v>
      </c>
      <c r="M105" s="1">
        <f t="shared" si="43"/>
        <v>0.4683406113537118</v>
      </c>
      <c r="N105" s="1">
        <f t="shared" si="44"/>
        <v>0.34794924087922047</v>
      </c>
      <c r="O105" s="1">
        <f t="shared" si="45"/>
        <v>0.81234567901234556</v>
      </c>
      <c r="R105" s="1">
        <f t="shared" si="35"/>
        <v>9.2451006338603342E-2</v>
      </c>
      <c r="S105" s="1">
        <f t="shared" si="36"/>
        <v>8.5974766722261176E-2</v>
      </c>
      <c r="T105" s="1">
        <f t="shared" si="37"/>
        <v>7.673037036160095E-2</v>
      </c>
      <c r="U105" s="1">
        <f t="shared" si="46"/>
        <v>0.1238858069940672</v>
      </c>
      <c r="W105" s="1">
        <f t="shared" si="38"/>
        <v>0.12079878675850063</v>
      </c>
      <c r="X105" s="1">
        <f t="shared" si="39"/>
        <v>0.10764019163517595</v>
      </c>
      <c r="Y105" s="1">
        <f t="shared" si="40"/>
        <v>9.4976612046365136E-2</v>
      </c>
      <c r="Z105" s="1">
        <f t="shared" si="41"/>
        <v>9.814053174935479E-2</v>
      </c>
    </row>
    <row r="106" spans="1:26" x14ac:dyDescent="0.2">
      <c r="A106">
        <v>22.5</v>
      </c>
      <c r="B106">
        <v>2844</v>
      </c>
      <c r="C106">
        <v>1650</v>
      </c>
      <c r="D106">
        <v>1973</v>
      </c>
      <c r="E106">
        <v>41</v>
      </c>
      <c r="G106" s="1">
        <f t="shared" si="31"/>
        <v>5.9665170142239751E-2</v>
      </c>
      <c r="H106" s="1">
        <f t="shared" si="32"/>
        <v>7.5054585152838429E-2</v>
      </c>
      <c r="I106" s="1">
        <f t="shared" si="33"/>
        <v>0.22354407432585544</v>
      </c>
      <c r="J106" s="1">
        <f t="shared" si="34"/>
        <v>0.10123456790123457</v>
      </c>
      <c r="L106" s="1">
        <f t="shared" si="42"/>
        <v>0.55689590064196703</v>
      </c>
      <c r="M106" s="1">
        <f t="shared" si="43"/>
        <v>0.54339519650655022</v>
      </c>
      <c r="N106" s="1">
        <f t="shared" si="44"/>
        <v>0.57149331520507585</v>
      </c>
      <c r="O106" s="1">
        <f t="shared" si="45"/>
        <v>0.91358024691358009</v>
      </c>
      <c r="R106" s="1">
        <f t="shared" si="35"/>
        <v>8.0292710860770347E-2</v>
      </c>
      <c r="S106" s="1">
        <f t="shared" si="36"/>
        <v>7.8026915914695141E-2</v>
      </c>
      <c r="T106" s="1">
        <f t="shared" si="37"/>
        <v>7.1772227169047798E-2</v>
      </c>
      <c r="U106" s="1">
        <f t="shared" si="46"/>
        <v>9.8312479041066783E-2</v>
      </c>
      <c r="W106" s="1">
        <f t="shared" si="38"/>
        <v>0.10491245516580357</v>
      </c>
      <c r="X106" s="1">
        <f t="shared" si="39"/>
        <v>9.7689502419840368E-2</v>
      </c>
      <c r="Y106" s="1">
        <f t="shared" si="40"/>
        <v>8.8839437935902238E-2</v>
      </c>
      <c r="Z106" s="1">
        <f t="shared" si="41"/>
        <v>7.7881713852416101E-2</v>
      </c>
    </row>
    <row r="107" spans="1:26" x14ac:dyDescent="0.2">
      <c r="A107">
        <v>27.5</v>
      </c>
      <c r="B107">
        <v>10395</v>
      </c>
      <c r="C107">
        <v>3661</v>
      </c>
      <c r="D107">
        <v>352</v>
      </c>
      <c r="E107">
        <v>35</v>
      </c>
      <c r="G107" s="1">
        <f t="shared" si="31"/>
        <v>0.21807997314647756</v>
      </c>
      <c r="H107" s="1">
        <f t="shared" si="32"/>
        <v>0.16653020378457059</v>
      </c>
      <c r="I107" s="1">
        <f t="shared" si="33"/>
        <v>3.9882166326761843E-2</v>
      </c>
      <c r="J107" s="1">
        <f t="shared" si="34"/>
        <v>8.6419753086419748E-2</v>
      </c>
      <c r="L107" s="1">
        <f t="shared" si="42"/>
        <v>0.77497587378844457</v>
      </c>
      <c r="M107" s="1">
        <f t="shared" si="43"/>
        <v>0.70992540029112083</v>
      </c>
      <c r="N107" s="1">
        <f t="shared" si="44"/>
        <v>0.61137548153183774</v>
      </c>
      <c r="O107" s="1">
        <f t="shared" si="45"/>
        <v>0.99999999999999978</v>
      </c>
      <c r="R107" s="1">
        <f t="shared" si="35"/>
        <v>6.7318079634951983E-2</v>
      </c>
      <c r="S107" s="1">
        <f t="shared" si="36"/>
        <v>6.9117215798675025E-2</v>
      </c>
      <c r="T107" s="1">
        <f t="shared" si="37"/>
        <v>6.6022632043350224E-2</v>
      </c>
      <c r="U107" s="1">
        <f t="shared" si="46"/>
        <v>8.1739219967455659E-2</v>
      </c>
      <c r="W107" s="1">
        <f t="shared" si="38"/>
        <v>8.7959478959384774E-2</v>
      </c>
      <c r="X107" s="1">
        <f t="shared" si="39"/>
        <v>8.6534580290205415E-2</v>
      </c>
      <c r="Y107" s="1">
        <f t="shared" si="40"/>
        <v>8.1722607102118983E-2</v>
      </c>
      <c r="Z107" s="1">
        <f t="shared" si="41"/>
        <v>6.4752619424497435E-2</v>
      </c>
    </row>
    <row r="108" spans="1:26" x14ac:dyDescent="0.2">
      <c r="A108">
        <v>32.5</v>
      </c>
      <c r="B108">
        <v>1625</v>
      </c>
      <c r="C108">
        <v>1040</v>
      </c>
      <c r="D108">
        <v>540</v>
      </c>
      <c r="E108">
        <v>0</v>
      </c>
      <c r="G108" s="1">
        <f t="shared" si="31"/>
        <v>3.4091385893508998E-2</v>
      </c>
      <c r="H108" s="1">
        <f t="shared" si="32"/>
        <v>4.730713245997089E-2</v>
      </c>
      <c r="I108" s="1">
        <f t="shared" si="33"/>
        <v>6.1182868796736914E-2</v>
      </c>
      <c r="J108" s="1">
        <f t="shared" si="34"/>
        <v>0</v>
      </c>
      <c r="L108" s="1">
        <f t="shared" si="42"/>
        <v>0.80906725968195359</v>
      </c>
      <c r="M108" s="1">
        <f t="shared" si="43"/>
        <v>0.7572325327510917</v>
      </c>
      <c r="N108" s="1">
        <f t="shared" si="44"/>
        <v>0.67255835032857469</v>
      </c>
      <c r="O108" s="1">
        <f t="shared" si="45"/>
        <v>0.99999999999999978</v>
      </c>
      <c r="R108" s="1">
        <f t="shared" si="35"/>
        <v>5.4485185715991237E-2</v>
      </c>
      <c r="S108" s="1">
        <f t="shared" si="36"/>
        <v>5.9758046009594168E-2</v>
      </c>
      <c r="T108" s="1">
        <f t="shared" si="37"/>
        <v>5.9727801155176528E-2</v>
      </c>
      <c r="U108" s="1">
        <f t="shared" si="46"/>
        <v>7.0094489547429251E-2</v>
      </c>
      <c r="W108" s="1">
        <f t="shared" si="38"/>
        <v>7.1191700247129619E-2</v>
      </c>
      <c r="X108" s="1">
        <f t="shared" si="39"/>
        <v>7.481692326070441E-2</v>
      </c>
      <c r="Y108" s="1">
        <f t="shared" si="40"/>
        <v>7.3930885149702294E-2</v>
      </c>
      <c r="Z108" s="1">
        <f t="shared" si="41"/>
        <v>5.5527833605779661E-2</v>
      </c>
    </row>
    <row r="109" spans="1:26" x14ac:dyDescent="0.2">
      <c r="A109">
        <v>37.5</v>
      </c>
      <c r="B109">
        <v>1574</v>
      </c>
      <c r="C109">
        <v>832</v>
      </c>
      <c r="D109">
        <v>811</v>
      </c>
      <c r="E109">
        <v>0</v>
      </c>
      <c r="G109" s="1">
        <f t="shared" si="31"/>
        <v>3.3021440859312717E-2</v>
      </c>
      <c r="H109" s="1">
        <f t="shared" si="32"/>
        <v>3.7845705967976713E-2</v>
      </c>
      <c r="I109" s="1">
        <f t="shared" si="33"/>
        <v>9.1887604803988221E-2</v>
      </c>
      <c r="J109" s="1">
        <f t="shared" si="34"/>
        <v>0</v>
      </c>
      <c r="L109" s="1">
        <f t="shared" si="42"/>
        <v>0.84208870054126628</v>
      </c>
      <c r="M109" s="1">
        <f t="shared" si="43"/>
        <v>0.79507823871906846</v>
      </c>
      <c r="N109" s="1">
        <f t="shared" si="44"/>
        <v>0.76444595513256286</v>
      </c>
      <c r="O109" s="1">
        <f t="shared" si="45"/>
        <v>0.99999999999999978</v>
      </c>
      <c r="R109" s="1">
        <f t="shared" si="35"/>
        <v>4.2571237236444043E-2</v>
      </c>
      <c r="S109" s="1">
        <f t="shared" si="36"/>
        <v>5.0428366442698061E-2</v>
      </c>
      <c r="T109" s="1">
        <f t="shared" si="37"/>
        <v>5.3138281090280008E-2</v>
      </c>
      <c r="U109" s="1">
        <f t="shared" si="46"/>
        <v>6.1448007461389988E-2</v>
      </c>
      <c r="W109" s="1">
        <f t="shared" si="38"/>
        <v>5.5624638526227149E-2</v>
      </c>
      <c r="X109" s="1">
        <f t="shared" si="39"/>
        <v>6.313618791518523E-2</v>
      </c>
      <c r="Y109" s="1">
        <f t="shared" si="40"/>
        <v>6.5774397857564615E-2</v>
      </c>
      <c r="Z109" s="1">
        <f t="shared" si="41"/>
        <v>4.8678216444018742E-2</v>
      </c>
    </row>
    <row r="110" spans="1:26" x14ac:dyDescent="0.2">
      <c r="A110">
        <v>42.5</v>
      </c>
      <c r="B110">
        <v>3625</v>
      </c>
      <c r="C110">
        <v>1763</v>
      </c>
      <c r="D110">
        <v>296</v>
      </c>
      <c r="E110">
        <v>0</v>
      </c>
      <c r="G110" s="1">
        <f t="shared" si="31"/>
        <v>7.605001468552007E-2</v>
      </c>
      <c r="H110" s="1">
        <f t="shared" si="32"/>
        <v>8.0194687045123725E-2</v>
      </c>
      <c r="I110" s="1">
        <f t="shared" si="33"/>
        <v>3.3537276229322455E-2</v>
      </c>
      <c r="J110" s="1">
        <f t="shared" si="34"/>
        <v>0</v>
      </c>
      <c r="L110" s="1">
        <f t="shared" si="42"/>
        <v>0.91813871522678636</v>
      </c>
      <c r="M110" s="1">
        <f t="shared" si="43"/>
        <v>0.87527292576419224</v>
      </c>
      <c r="N110" s="1">
        <f t="shared" si="44"/>
        <v>0.79798323136188531</v>
      </c>
      <c r="O110" s="1">
        <f t="shared" si="45"/>
        <v>0.99999999999999978</v>
      </c>
      <c r="R110" s="1">
        <f t="shared" si="35"/>
        <v>3.2110363965464878E-2</v>
      </c>
      <c r="S110" s="1">
        <f t="shared" si="36"/>
        <v>4.1535722619880512E-2</v>
      </c>
      <c r="T110" s="1">
        <f t="shared" si="37"/>
        <v>4.6492806095167573E-2</v>
      </c>
      <c r="U110" s="1">
        <f t="shared" si="46"/>
        <v>5.4764453322908933E-2</v>
      </c>
      <c r="W110" s="1">
        <f t="shared" si="38"/>
        <v>4.195620105199855E-2</v>
      </c>
      <c r="X110" s="1">
        <f t="shared" si="39"/>
        <v>5.200262022172851E-2</v>
      </c>
      <c r="Y110" s="1">
        <f t="shared" si="40"/>
        <v>5.7548649728105888E-2</v>
      </c>
      <c r="Z110" s="1">
        <f t="shared" si="41"/>
        <v>4.3383602209818822E-2</v>
      </c>
    </row>
    <row r="111" spans="1:26" x14ac:dyDescent="0.2">
      <c r="A111">
        <v>47.5</v>
      </c>
      <c r="B111">
        <v>741</v>
      </c>
      <c r="C111">
        <v>378</v>
      </c>
      <c r="D111">
        <v>143</v>
      </c>
      <c r="E111">
        <v>0</v>
      </c>
      <c r="G111" s="1">
        <f t="shared" si="31"/>
        <v>1.5545671967440104E-2</v>
      </c>
      <c r="H111" s="1">
        <f t="shared" si="32"/>
        <v>1.7194323144104802E-2</v>
      </c>
      <c r="I111" s="1">
        <f t="shared" si="33"/>
        <v>1.6202130070246998E-2</v>
      </c>
      <c r="J111" s="1">
        <f t="shared" si="34"/>
        <v>0</v>
      </c>
      <c r="L111" s="1">
        <f t="shared" si="42"/>
        <v>0.93368438719422642</v>
      </c>
      <c r="M111" s="1">
        <f t="shared" si="43"/>
        <v>0.89246724890829709</v>
      </c>
      <c r="N111" s="1">
        <f t="shared" si="44"/>
        <v>0.81418536143213227</v>
      </c>
      <c r="O111" s="1">
        <f t="shared" si="45"/>
        <v>0.99999999999999978</v>
      </c>
      <c r="R111" s="1">
        <f t="shared" si="35"/>
        <v>2.3381119623701346E-2</v>
      </c>
      <c r="S111" s="1">
        <f t="shared" si="36"/>
        <v>3.3391582357487841E-2</v>
      </c>
      <c r="T111" s="1">
        <f t="shared" si="37"/>
        <v>4.0004725834351273E-2</v>
      </c>
      <c r="U111" s="1">
        <f t="shared" si="46"/>
        <v>4.9437722169677956E-2</v>
      </c>
      <c r="W111" s="1">
        <f t="shared" si="38"/>
        <v>3.0550353051366923E-2</v>
      </c>
      <c r="X111" s="1">
        <f t="shared" si="39"/>
        <v>4.1806177102788195E-2</v>
      </c>
      <c r="Y111" s="1">
        <f t="shared" si="40"/>
        <v>4.9517724307659737E-2</v>
      </c>
      <c r="Z111" s="1">
        <f t="shared" si="41"/>
        <v>3.9163843380714401E-2</v>
      </c>
    </row>
    <row r="112" spans="1:26" x14ac:dyDescent="0.2">
      <c r="A112">
        <v>52.5</v>
      </c>
      <c r="B112">
        <v>369</v>
      </c>
      <c r="C112">
        <v>393</v>
      </c>
      <c r="D112">
        <v>856</v>
      </c>
      <c r="E112">
        <v>0</v>
      </c>
      <c r="G112" s="1">
        <f t="shared" si="31"/>
        <v>7.741367012126044E-3</v>
      </c>
      <c r="H112" s="1">
        <f t="shared" si="32"/>
        <v>1.7876637554585153E-2</v>
      </c>
      <c r="I112" s="1">
        <f t="shared" si="33"/>
        <v>9.6986177203716287E-2</v>
      </c>
      <c r="J112" s="1">
        <f t="shared" si="34"/>
        <v>0</v>
      </c>
      <c r="L112" s="1">
        <f t="shared" si="42"/>
        <v>0.94142575420635244</v>
      </c>
      <c r="M112" s="1">
        <f t="shared" si="43"/>
        <v>0.91034388646288222</v>
      </c>
      <c r="N112" s="1">
        <f t="shared" si="44"/>
        <v>0.91117153863584854</v>
      </c>
      <c r="O112" s="1">
        <f t="shared" si="45"/>
        <v>0.99999999999999978</v>
      </c>
      <c r="R112" s="1">
        <f t="shared" si="35"/>
        <v>1.6435256977661704E-2</v>
      </c>
      <c r="S112" s="1">
        <f t="shared" si="36"/>
        <v>2.6201164150209965E-2</v>
      </c>
      <c r="T112" s="1">
        <f t="shared" si="37"/>
        <v>3.3851983452678827E-2</v>
      </c>
      <c r="U112" s="1">
        <f t="shared" si="46"/>
        <v>4.5088938909852286E-2</v>
      </c>
      <c r="W112" s="1">
        <f t="shared" si="38"/>
        <v>2.147471597760986E-2</v>
      </c>
      <c r="X112" s="1">
        <f t="shared" si="39"/>
        <v>3.2803791597413562E-2</v>
      </c>
      <c r="Y112" s="1">
        <f t="shared" si="40"/>
        <v>4.1901879063443712E-2</v>
      </c>
      <c r="Z112" s="1">
        <f t="shared" si="41"/>
        <v>3.571880062773445E-2</v>
      </c>
    </row>
    <row r="113" spans="1:26" x14ac:dyDescent="0.2">
      <c r="A113">
        <v>57.5</v>
      </c>
      <c r="B113">
        <v>1919</v>
      </c>
      <c r="C113">
        <v>1144</v>
      </c>
      <c r="D113">
        <v>31</v>
      </c>
      <c r="E113">
        <v>0</v>
      </c>
      <c r="G113" s="1">
        <f t="shared" si="31"/>
        <v>4.0259304325934629E-2</v>
      </c>
      <c r="H113" s="1">
        <f t="shared" si="32"/>
        <v>5.2037845705967978E-2</v>
      </c>
      <c r="I113" s="1">
        <f t="shared" si="33"/>
        <v>3.5123498753682303E-3</v>
      </c>
      <c r="J113" s="1">
        <f t="shared" si="34"/>
        <v>0</v>
      </c>
      <c r="L113" s="1">
        <f t="shared" si="42"/>
        <v>0.98168505853228705</v>
      </c>
      <c r="M113" s="1">
        <f t="shared" si="43"/>
        <v>0.96238173216885015</v>
      </c>
      <c r="N113" s="1">
        <f t="shared" si="44"/>
        <v>0.91468388851121674</v>
      </c>
      <c r="O113" s="1">
        <f t="shared" si="45"/>
        <v>0.99999999999999978</v>
      </c>
      <c r="R113" s="1">
        <f t="shared" si="35"/>
        <v>1.1152669017125612E-2</v>
      </c>
      <c r="S113" s="1">
        <f t="shared" si="36"/>
        <v>2.0066541839292351E-2</v>
      </c>
      <c r="T113" s="1">
        <f t="shared" si="37"/>
        <v>2.8171127135398204E-2</v>
      </c>
      <c r="U113" s="1">
        <f t="shared" si="46"/>
        <v>4.1468865842390228E-2</v>
      </c>
      <c r="W113" s="1">
        <f t="shared" si="38"/>
        <v>1.4572355020708434E-2</v>
      </c>
      <c r="X113" s="1">
        <f t="shared" si="39"/>
        <v>2.5123259898039728E-2</v>
      </c>
      <c r="Y113" s="1">
        <f t="shared" si="40"/>
        <v>3.4870132911368361E-2</v>
      </c>
      <c r="Z113" s="1">
        <f t="shared" si="41"/>
        <v>3.2851031474571829E-2</v>
      </c>
    </row>
    <row r="114" spans="1:26" x14ac:dyDescent="0.2">
      <c r="A114">
        <v>62.5</v>
      </c>
      <c r="B114">
        <v>210</v>
      </c>
      <c r="C114">
        <v>148</v>
      </c>
      <c r="D114">
        <v>88</v>
      </c>
      <c r="E114">
        <v>0</v>
      </c>
      <c r="G114" s="1">
        <f t="shared" si="31"/>
        <v>4.4056560231611631E-3</v>
      </c>
      <c r="H114" s="1">
        <f t="shared" si="32"/>
        <v>6.7321688500727806E-3</v>
      </c>
      <c r="I114" s="1">
        <f t="shared" si="33"/>
        <v>9.9705415816904609E-3</v>
      </c>
      <c r="J114" s="1">
        <f t="shared" si="34"/>
        <v>0</v>
      </c>
      <c r="L114" s="1">
        <f t="shared" si="42"/>
        <v>0.98609071455544817</v>
      </c>
      <c r="M114" s="1">
        <f t="shared" si="43"/>
        <v>0.96911390101892292</v>
      </c>
      <c r="N114" s="1">
        <f t="shared" si="44"/>
        <v>0.92465443009290715</v>
      </c>
      <c r="O114" s="1">
        <f t="shared" si="45"/>
        <v>0.99999999999999978</v>
      </c>
      <c r="R114" s="1">
        <f t="shared" si="35"/>
        <v>7.3058751752870374E-3</v>
      </c>
      <c r="S114" s="1">
        <f t="shared" si="36"/>
        <v>1.5000054628477011E-2</v>
      </c>
      <c r="T114" s="1">
        <f t="shared" si="37"/>
        <v>2.3055344152285752E-2</v>
      </c>
      <c r="U114" s="1">
        <f t="shared" si="46"/>
        <v>3.8406697024650362E-2</v>
      </c>
      <c r="W114" s="1">
        <f t="shared" si="38"/>
        <v>9.5460384081856465E-3</v>
      </c>
      <c r="X114" s="1">
        <f t="shared" si="39"/>
        <v>1.8780030656707879E-2</v>
      </c>
      <c r="Y114" s="1">
        <f t="shared" si="40"/>
        <v>2.8537832762018083E-2</v>
      </c>
      <c r="Z114" s="1">
        <f t="shared" si="41"/>
        <v>3.0425225941467657E-2</v>
      </c>
    </row>
    <row r="115" spans="1:26" x14ac:dyDescent="0.2">
      <c r="A115">
        <v>67.5</v>
      </c>
      <c r="B115">
        <v>205</v>
      </c>
      <c r="C115">
        <v>195</v>
      </c>
      <c r="D115">
        <v>182</v>
      </c>
      <c r="E115">
        <v>0</v>
      </c>
      <c r="G115" s="1">
        <f t="shared" si="31"/>
        <v>4.3007594511811353E-3</v>
      </c>
      <c r="H115" s="1">
        <f t="shared" si="32"/>
        <v>8.8700873362445413E-3</v>
      </c>
      <c r="I115" s="1">
        <f t="shared" si="33"/>
        <v>2.0620892816677998E-2</v>
      </c>
      <c r="J115" s="1">
        <f t="shared" si="34"/>
        <v>0</v>
      </c>
      <c r="L115" s="1">
        <f t="shared" si="42"/>
        <v>0.9903914740066293</v>
      </c>
      <c r="M115" s="1">
        <f t="shared" si="43"/>
        <v>0.97798398835516742</v>
      </c>
      <c r="N115" s="1">
        <f t="shared" si="44"/>
        <v>0.94527532290958516</v>
      </c>
      <c r="O115" s="1">
        <f t="shared" si="45"/>
        <v>0.99999999999999978</v>
      </c>
      <c r="R115" s="1">
        <f t="shared" si="35"/>
        <v>4.620157719791935E-3</v>
      </c>
      <c r="S115" s="1">
        <f t="shared" si="36"/>
        <v>1.0944136605106545E-2</v>
      </c>
      <c r="T115" s="1">
        <f t="shared" si="37"/>
        <v>1.8556081759856128E-2</v>
      </c>
      <c r="U115" s="1">
        <f t="shared" si="46"/>
        <v>3.578138153668238E-2</v>
      </c>
      <c r="W115" s="1">
        <f t="shared" si="38"/>
        <v>6.036813110932523E-3</v>
      </c>
      <c r="X115" s="1">
        <f t="shared" si="39"/>
        <v>1.370203149559915E-2</v>
      </c>
      <c r="Y115" s="1">
        <f t="shared" si="40"/>
        <v>2.2968659868328519E-2</v>
      </c>
      <c r="Z115" s="1">
        <f t="shared" si="41"/>
        <v>2.8345489252894984E-2</v>
      </c>
    </row>
    <row r="116" spans="1:26" x14ac:dyDescent="0.2">
      <c r="A116">
        <v>72.5</v>
      </c>
      <c r="B116">
        <v>352</v>
      </c>
      <c r="C116">
        <v>219</v>
      </c>
      <c r="D116">
        <v>98</v>
      </c>
      <c r="E116">
        <v>0</v>
      </c>
      <c r="G116" s="1">
        <f t="shared" si="31"/>
        <v>7.3847186673939493E-3</v>
      </c>
      <c r="H116" s="1">
        <f t="shared" si="32"/>
        <v>9.9617903930131011E-3</v>
      </c>
      <c r="I116" s="1">
        <f t="shared" si="33"/>
        <v>1.1103557670518922E-2</v>
      </c>
      <c r="J116" s="1">
        <f t="shared" si="34"/>
        <v>0</v>
      </c>
      <c r="L116" s="1">
        <f t="shared" si="42"/>
        <v>0.99777619267402329</v>
      </c>
      <c r="M116" s="1">
        <f t="shared" si="43"/>
        <v>0.98794577874818057</v>
      </c>
      <c r="N116" s="1">
        <f t="shared" si="44"/>
        <v>0.95637888058010412</v>
      </c>
      <c r="O116" s="1">
        <f t="shared" si="45"/>
        <v>0.99999999999999978</v>
      </c>
      <c r="R116" s="1">
        <f t="shared" si="35"/>
        <v>2.8205413736429974E-3</v>
      </c>
      <c r="S116" s="1">
        <f t="shared" si="36"/>
        <v>7.7936074734729277E-3</v>
      </c>
      <c r="T116" s="1">
        <f t="shared" si="37"/>
        <v>1.4687511766009211E-2</v>
      </c>
      <c r="U116" s="1">
        <f t="shared" si="46"/>
        <v>3.3504690481150033E-2</v>
      </c>
      <c r="W116" s="1">
        <f t="shared" si="38"/>
        <v>3.685389585596761E-3</v>
      </c>
      <c r="X116" s="1">
        <f t="shared" si="39"/>
        <v>9.757576949106745E-3</v>
      </c>
      <c r="Y116" s="1">
        <f t="shared" si="40"/>
        <v>1.8180156049719537E-2</v>
      </c>
      <c r="Z116" s="1">
        <f t="shared" si="41"/>
        <v>2.6541927761548002E-2</v>
      </c>
    </row>
    <row r="117" spans="1:26" x14ac:dyDescent="0.2">
      <c r="A117">
        <v>77.5</v>
      </c>
      <c r="B117">
        <v>106</v>
      </c>
      <c r="C117">
        <v>39</v>
      </c>
      <c r="D117">
        <v>100</v>
      </c>
      <c r="E117">
        <v>0</v>
      </c>
      <c r="G117" s="1">
        <f t="shared" si="31"/>
        <v>2.2238073259765873E-3</v>
      </c>
      <c r="H117" s="1">
        <f t="shared" si="32"/>
        <v>1.7740174672489083E-3</v>
      </c>
      <c r="I117" s="1">
        <f t="shared" si="33"/>
        <v>1.1330160888284613E-2</v>
      </c>
      <c r="J117" s="1">
        <f t="shared" si="34"/>
        <v>0</v>
      </c>
      <c r="L117" s="1">
        <f t="shared" si="42"/>
        <v>0.99999999999999989</v>
      </c>
      <c r="M117" s="1">
        <f t="shared" si="43"/>
        <v>0.98971979621542949</v>
      </c>
      <c r="N117" s="1">
        <f t="shared" si="44"/>
        <v>0.96770904146838876</v>
      </c>
      <c r="O117" s="1">
        <f t="shared" si="45"/>
        <v>0.99999999999999978</v>
      </c>
      <c r="R117" s="1">
        <f t="shared" si="35"/>
        <v>1.662261198106686E-3</v>
      </c>
      <c r="S117" s="1">
        <f t="shared" si="36"/>
        <v>5.4170633051560443E-3</v>
      </c>
      <c r="T117" s="1">
        <f t="shared" si="37"/>
        <v>1.1432927771498512E-2</v>
      </c>
      <c r="U117" s="1">
        <f t="shared" si="46"/>
        <v>3.151076960659252E-2</v>
      </c>
      <c r="W117" s="1">
        <f t="shared" si="38"/>
        <v>2.1719518689887396E-3</v>
      </c>
      <c r="X117" s="1">
        <f t="shared" si="39"/>
        <v>6.7821496294435141E-3</v>
      </c>
      <c r="Y117" s="1">
        <f t="shared" si="40"/>
        <v>1.4151642177543009E-2</v>
      </c>
      <c r="Z117" s="1">
        <f t="shared" si="41"/>
        <v>2.4962372688668799E-2</v>
      </c>
    </row>
    <row r="118" spans="1:26" x14ac:dyDescent="0.2">
      <c r="A118">
        <v>82.5</v>
      </c>
      <c r="B118">
        <v>0</v>
      </c>
      <c r="C118">
        <v>151</v>
      </c>
      <c r="D118">
        <v>250</v>
      </c>
      <c r="E118">
        <v>0</v>
      </c>
      <c r="G118" s="1">
        <f t="shared" si="31"/>
        <v>0</v>
      </c>
      <c r="H118" s="1">
        <f t="shared" si="32"/>
        <v>6.8686317321688499E-3</v>
      </c>
      <c r="I118" s="1">
        <f t="shared" si="33"/>
        <v>2.8325402220711535E-2</v>
      </c>
      <c r="J118" s="1">
        <f t="shared" si="34"/>
        <v>0</v>
      </c>
      <c r="L118" s="1">
        <f t="shared" si="42"/>
        <v>0.99999999999999989</v>
      </c>
      <c r="M118" s="1">
        <f t="shared" si="43"/>
        <v>0.99658842794759839</v>
      </c>
      <c r="N118" s="1">
        <f t="shared" si="44"/>
        <v>0.99603444368910032</v>
      </c>
      <c r="O118" s="1">
        <f t="shared" si="45"/>
        <v>0.99999999999999978</v>
      </c>
      <c r="R118" s="1">
        <f t="shared" si="35"/>
        <v>9.457082540627954E-4</v>
      </c>
      <c r="S118" s="1">
        <f t="shared" si="36"/>
        <v>3.6750026104609063E-3</v>
      </c>
      <c r="T118" s="1">
        <f t="shared" si="37"/>
        <v>8.7521343207265373E-3</v>
      </c>
      <c r="U118" s="1">
        <f t="shared" si="46"/>
        <v>2.9749450224410789E-2</v>
      </c>
      <c r="W118" s="1">
        <f t="shared" si="38"/>
        <v>1.2356859513229976E-3</v>
      </c>
      <c r="X118" s="1">
        <f t="shared" si="39"/>
        <v>4.601094022478552E-3</v>
      </c>
      <c r="Y118" s="1">
        <f t="shared" si="40"/>
        <v>1.0833364442787997E-2</v>
      </c>
      <c r="Z118" s="1">
        <f t="shared" si="41"/>
        <v>2.3567081129918746E-2</v>
      </c>
    </row>
    <row r="119" spans="1:26" x14ac:dyDescent="0.2">
      <c r="A119">
        <v>87.5</v>
      </c>
      <c r="B119">
        <v>0</v>
      </c>
      <c r="C119">
        <v>75</v>
      </c>
      <c r="D119">
        <v>35</v>
      </c>
      <c r="E119">
        <v>0</v>
      </c>
      <c r="G119" s="1">
        <f t="shared" si="31"/>
        <v>0</v>
      </c>
      <c r="H119" s="1">
        <f t="shared" si="32"/>
        <v>3.4115720524017469E-3</v>
      </c>
      <c r="I119" s="1">
        <f t="shared" si="33"/>
        <v>3.9655563108996145E-3</v>
      </c>
      <c r="J119" s="1">
        <f t="shared" si="34"/>
        <v>0</v>
      </c>
      <c r="L119" s="1">
        <f t="shared" si="42"/>
        <v>0.99999999999999989</v>
      </c>
      <c r="M119" s="1">
        <f t="shared" si="43"/>
        <v>1.0000000000000002</v>
      </c>
      <c r="N119" s="1">
        <f t="shared" si="44"/>
        <v>0.99999999999999989</v>
      </c>
      <c r="O119" s="1">
        <f t="shared" si="45"/>
        <v>0.99999999999999978</v>
      </c>
      <c r="R119" s="1">
        <f t="shared" si="35"/>
        <v>5.194051019601271E-4</v>
      </c>
      <c r="S119" s="1">
        <f t="shared" si="36"/>
        <v>2.4334350086598327E-3</v>
      </c>
      <c r="T119" s="1">
        <f t="shared" si="37"/>
        <v>6.5889736510525944E-3</v>
      </c>
      <c r="U119" s="1">
        <f t="shared" si="46"/>
        <v>2.8181828550036557E-2</v>
      </c>
      <c r="W119" s="1">
        <f t="shared" si="38"/>
        <v>6.7866763854532359E-4</v>
      </c>
      <c r="X119" s="1">
        <f t="shared" si="39"/>
        <v>3.0466545086428052E-3</v>
      </c>
      <c r="Y119" s="1">
        <f t="shared" si="40"/>
        <v>8.1558109427935163E-3</v>
      </c>
      <c r="Z119" s="1">
        <f t="shared" si="41"/>
        <v>2.2325234073845013E-2</v>
      </c>
    </row>
    <row r="120" spans="1:26" x14ac:dyDescent="0.2">
      <c r="A120">
        <v>92.5</v>
      </c>
      <c r="B120">
        <f>SUM(B101:B119)</f>
        <v>47666</v>
      </c>
      <c r="C120">
        <f>SUM(C101:C119)</f>
        <v>21984</v>
      </c>
      <c r="D120">
        <f>SUM(D101:D119)</f>
        <v>8826</v>
      </c>
      <c r="E120">
        <f>SUM(E101:E119)</f>
        <v>405</v>
      </c>
      <c r="R120">
        <f>SUM(R101:R119)</f>
        <v>0.76533058666748199</v>
      </c>
      <c r="S120">
        <f>SUM(S101:S119)</f>
        <v>0.79872364974650711</v>
      </c>
      <c r="T120">
        <f>SUM(T101:T119)</f>
        <v>0.80788700195099783</v>
      </c>
      <c r="U120">
        <f>SUM(U101:U119)</f>
        <v>1.2623307086868487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33</vt:i4>
      </vt:variant>
    </vt:vector>
  </HeadingPairs>
  <TitlesOfParts>
    <vt:vector size="35" baseType="lpstr">
      <vt:lpstr>A</vt:lpstr>
      <vt:lpstr>B</vt:lpstr>
      <vt:lpstr>Current</vt:lpstr>
      <vt:lpstr>AU2+.68-88</vt:lpstr>
      <vt:lpstr>AUTO1.88</vt:lpstr>
      <vt:lpstr>CUM.1968</vt:lpstr>
      <vt:lpstr>CUM.1988</vt:lpstr>
      <vt:lpstr>CUM.88.NW</vt:lpstr>
      <vt:lpstr>CUM.88.WK.AUTOS</vt:lpstr>
      <vt:lpstr>CUM.88.WORK</vt:lpstr>
      <vt:lpstr>CUM.CHN.68.88</vt:lpstr>
      <vt:lpstr>D.CUM.AU1</vt:lpstr>
      <vt:lpstr>D.CUM.AU2</vt:lpstr>
      <vt:lpstr>D.CUM.WALK</vt:lpstr>
      <vt:lpstr>D.CUM.WCT</vt:lpstr>
      <vt:lpstr>INOP</vt:lpstr>
      <vt:lpstr>NW.68-88.CUM</vt:lpstr>
      <vt:lpstr>NW.68.DATA</vt:lpstr>
      <vt:lpstr>NW.68.TRN.STO</vt:lpstr>
      <vt:lpstr>NW.AU.88.STO</vt:lpstr>
      <vt:lpstr>NW.AU1.68.STO</vt:lpstr>
      <vt:lpstr>NW.CUM.AU1</vt:lpstr>
      <vt:lpstr>PMO1</vt:lpstr>
      <vt:lpstr>RAIL.ACCESS</vt:lpstr>
      <vt:lpstr>STO.ALL</vt:lpstr>
      <vt:lpstr>STO.ALL.CUM</vt:lpstr>
      <vt:lpstr>STO.AU1.CUM</vt:lpstr>
      <vt:lpstr>STO.NAUTO</vt:lpstr>
      <vt:lpstr>STO.TRN1</vt:lpstr>
      <vt:lpstr>STO.TRN1.CUM</vt:lpstr>
      <vt:lpstr>TRN.68-88</vt:lpstr>
      <vt:lpstr>TRN.WORK.88</vt:lpstr>
      <vt:lpstr>WK.68.WALK.STO</vt:lpstr>
      <vt:lpstr>WK.TRN.68.STO</vt:lpstr>
      <vt:lpstr>WKAU88CUMSTO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Levinson</dc:creator>
  <cp:lastModifiedBy>Microsoft Office User</cp:lastModifiedBy>
  <dcterms:created xsi:type="dcterms:W3CDTF">2001-04-23T14:15:20Z</dcterms:created>
  <dcterms:modified xsi:type="dcterms:W3CDTF">2022-01-25T20:41:59Z</dcterms:modified>
</cp:coreProperties>
</file>