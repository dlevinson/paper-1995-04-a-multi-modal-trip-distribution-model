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<sst xmlns="http://schemas.openxmlformats.org/spreadsheetml/2006/main" count="325" uniqueCount="117">
  <si>
    <t xml:space="preserve">WORK TRIPS - 1988: DISTRIBUTION in 5 minute intervals</t>
  </si>
  <si>
    <t xml:space="preserve">Regression Output:</t>
  </si>
  <si>
    <t xml:space="preserve">Constant</t>
  </si>
  <si>
    <t xml:space="preserve">AUTO TRAVEL TIMES weighted by AUTO TRIPS TRAVEL 2 04/30/92</t>
  </si>
  <si>
    <t xml:space="preserve">TRANSIT TRAVEL TIMES weighted by TRANSIT TRIPS</t>
  </si>
  <si>
    <t xml:space="preserve">Std Err of Y Est</t>
  </si>
  <si>
    <t xml:space="preserve">TRAVEL 2 0430 WORK TRIPS, ALL MODES (composite TT)</t>
  </si>
  <si>
    <t xml:space="preserve">PROPORTION of TRIPS/AREAFACTOR</t>
  </si>
  <si>
    <t xml:space="preserve">R Squared</t>
  </si>
  <si>
    <t xml:space="preserve">TRIPS</t>
  </si>
  <si>
    <t xml:space="preserve">PROP</t>
  </si>
  <si>
    <t xml:space="preserve">CUM</t>
  </si>
  <si>
    <t xml:space="preserve">CUMPROP</t>
  </si>
  <si>
    <t xml:space="preserve">DATA</t>
  </si>
  <si>
    <t xml:space="preserve">TRIPS/FACTOR</t>
  </si>
  <si>
    <t xml:space="preserve">CUMULATIVE</t>
  </si>
  <si>
    <t xml:space="preserve">No. of Observations</t>
  </si>
  <si>
    <t xml:space="preserve">ADT</t>
  </si>
  <si>
    <t xml:space="preserve">APT</t>
  </si>
  <si>
    <t xml:space="preserve">AU1</t>
  </si>
  <si>
    <t xml:space="preserve">AUDR2</t>
  </si>
  <si>
    <t xml:space="preserve">AUDR3</t>
  </si>
  <si>
    <t xml:space="preserve">AUPX</t>
  </si>
  <si>
    <t xml:space="preserve">BCRAIL</t>
  </si>
  <si>
    <t xml:space="preserve">BUS</t>
  </si>
  <si>
    <t xml:space="preserve">WALK</t>
  </si>
  <si>
    <t xml:space="preserve">WCRAIL</t>
  </si>
  <si>
    <t xml:space="preserve">AU2+</t>
  </si>
  <si>
    <t xml:space="preserve">ALLWCT</t>
  </si>
  <si>
    <t xml:space="preserve">ALLTRN</t>
  </si>
  <si>
    <t xml:space="preserve">ALLTRIPS</t>
  </si>
  <si>
    <t xml:space="preserve">FACTOR</t>
  </si>
  <si>
    <t xml:space="preserve">NONAUTO</t>
  </si>
  <si>
    <t xml:space="preserve">AUTO</t>
  </si>
  <si>
    <t xml:space="preserve">TIME</t>
  </si>
  <si>
    <t xml:space="preserve">P</t>
  </si>
  <si>
    <t xml:space="preserve">ln(p)</t>
  </si>
  <si>
    <t xml:space="preserve">TIME^2</t>
  </si>
  <si>
    <t xml:space="preserve">TIME^0.5</t>
  </si>
  <si>
    <t xml:space="preserve">PREDICTED</t>
  </si>
  <si>
    <t xml:space="preserve">ADJ PRED</t>
  </si>
  <si>
    <t xml:space="preserve">Degrees of Freedom</t>
  </si>
  <si>
    <t xml:space="preserve">X Coefficient(s)</t>
  </si>
  <si>
    <t xml:space="preserve">Std Err of Coef.</t>
  </si>
  <si>
    <t xml:space="preserve">TSTAT</t>
  </si>
  <si>
    <t xml:space="preserve">FIGURE 4</t>
  </si>
  <si>
    <t xml:space="preserve">NON-WORK TRIPS - 1988: DISTRIBUTION in 5 minute intervals</t>
  </si>
  <si>
    <t xml:space="preserve">CUMULATIVES</t>
  </si>
  <si>
    <t xml:space="preserve">NWAU1</t>
  </si>
  <si>
    <t xml:space="preserve">NWAU2</t>
  </si>
  <si>
    <t xml:space="preserve">NWTRN</t>
  </si>
  <si>
    <t xml:space="preserve">NWWALK</t>
  </si>
  <si>
    <t xml:space="preserve">LINKED WORK TRIPS - 1988: DISTRIBUTION in 5 minute intervals</t>
  </si>
  <si>
    <t xml:space="preserve">LKAU1</t>
  </si>
  <si>
    <t xml:space="preserve">LKAU2</t>
  </si>
  <si>
    <t xml:space="preserve">LKTRN</t>
  </si>
  <si>
    <t xml:space="preserve">LKWALK</t>
  </si>
  <si>
    <t xml:space="preserve">AU2</t>
  </si>
  <si>
    <t xml:space="preserve">TRN</t>
  </si>
  <si>
    <t xml:space="preserve">express bus access</t>
  </si>
  <si>
    <t xml:space="preserve">auto</t>
  </si>
  <si>
    <t xml:space="preserve">walk</t>
  </si>
  <si>
    <t xml:space="preserve">AU1.68-88</t>
  </si>
  <si>
    <t xml:space="preserve">Line</t>
  </si>
  <si>
    <t xml:space="preserve">Auto 1 Distribution by Purpose</t>
  </si>
  <si>
    <t xml:space="preserve">AUTO1.88</t>
  </si>
  <si>
    <t xml:space="preserve">AUTO 1 TRIPS - 1988</t>
  </si>
  <si>
    <t xml:space="preserve">CUM.1968</t>
  </si>
  <si>
    <t xml:space="preserve">1968 Cumulative Distribution by Mode</t>
  </si>
  <si>
    <t xml:space="preserve">CUM.1988</t>
  </si>
  <si>
    <t xml:space="preserve">1988 Cumulative Distribution by Mode</t>
  </si>
  <si>
    <t xml:space="preserve">CUM.88.NW</t>
  </si>
  <si>
    <t xml:space="preserve">1988 Distribution by Mode: NonWork</t>
  </si>
  <si>
    <t xml:space="preserve">CUM.88.WK.AUTOS</t>
  </si>
  <si>
    <t xml:space="preserve">1988 Distribution by Mode</t>
  </si>
  <si>
    <t xml:space="preserve">CUM.88.WORK</t>
  </si>
  <si>
    <t xml:space="preserve">CUM.CHN.68.88</t>
  </si>
  <si>
    <t xml:space="preserve">Distribution by Mode: Chained Work</t>
  </si>
  <si>
    <t xml:space="preserve">CUM.WK.68.88</t>
  </si>
  <si>
    <t xml:space="preserve">Distribution by Mode: Work</t>
  </si>
  <si>
    <t xml:space="preserve">D.CUM.AU1</t>
  </si>
  <si>
    <t xml:space="preserve">1968 v 1988 Cumulative Distribution by Mode</t>
  </si>
  <si>
    <t xml:space="preserve">D.CUM.AU2</t>
  </si>
  <si>
    <t xml:space="preserve">D.CUM.WALK</t>
  </si>
  <si>
    <t xml:space="preserve">D.CUM.WCT</t>
  </si>
  <si>
    <t xml:space="preserve">INOP</t>
  </si>
  <si>
    <t xml:space="preserve">Intervening Opportunities</t>
  </si>
  <si>
    <t xml:space="preserve">NW.68-88.CUM</t>
  </si>
  <si>
    <t xml:space="preserve">Distribution by Mode: NonWork</t>
  </si>
  <si>
    <t xml:space="preserve">NW.68.DATA</t>
  </si>
  <si>
    <t xml:space="preserve">1968 Trip Distribution</t>
  </si>
  <si>
    <t xml:space="preserve">NW.68.TRN.STO</t>
  </si>
  <si>
    <t xml:space="preserve">NW.AU.88.STO</t>
  </si>
  <si>
    <t xml:space="preserve">NW.AU1.68.STO</t>
  </si>
  <si>
    <t xml:space="preserve">NW.CUM.AU1</t>
  </si>
  <si>
    <t xml:space="preserve">RAIL.ACCESS</t>
  </si>
  <si>
    <t xml:space="preserve">Distribution by Access Mode: Rail Work Trips</t>
  </si>
  <si>
    <t xml:space="preserve">TRN.68-88</t>
  </si>
  <si>
    <t xml:space="preserve">Transit Distribution by Purpose</t>
  </si>
  <si>
    <t xml:space="preserve">TRN.WORK.88</t>
  </si>
  <si>
    <t xml:space="preserve">Distribution by Mode: Non Auto Work Trips</t>
  </si>
  <si>
    <t xml:space="preserve">WK.68.WALK.STO</t>
  </si>
  <si>
    <t xml:space="preserve">WK.AU.88.STO</t>
  </si>
  <si>
    <t xml:space="preserve">WK.TRN.68.STO</t>
  </si>
  <si>
    <t xml:space="preserve">WK88ALL</t>
  </si>
  <si>
    <t xml:space="preserve">WKAU88CUMSTO</t>
  </si>
  <si>
    <t xml:space="preserve">1988 Trip Distribution</t>
  </si>
  <si>
    <t xml:space="preserve">1968 Household Travel Survey</t>
  </si>
  <si>
    <t xml:space="preserve">HOME TO WORK AND WORK TO HOME TRIPS, ALL DAY</t>
  </si>
  <si>
    <t xml:space="preserve">PROPORTIONS</t>
  </si>
  <si>
    <t xml:space="preserve">EQUATION</t>
  </si>
  <si>
    <t xml:space="preserve">EQUATION: BALANCED</t>
  </si>
  <si>
    <t xml:space="preserve">ALLAUTO</t>
  </si>
  <si>
    <t xml:space="preserve">NON-WORK TRIPS, ALL DAY, SHOP and SOCIAL/RECREATIONAL and SCHOOL and PICKUP/DROPOFF</t>
  </si>
  <si>
    <t xml:space="preserve">NUMBERS</t>
  </si>
  <si>
    <t xml:space="preserve">PROPORTION</t>
  </si>
  <si>
    <t xml:space="preserve">LINKED X-WORK (AM) and WORK-X (PM) TRIPS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</si>
</sst>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119</xdr:col>
      <xdr:colOff>507960</xdr:colOff>
      <xdr:row>0</xdr:row>
      <xdr:rowOff>0</xdr:rowOff>
    </xdr:from>
    <xdr:to>
      <xdr:col>129</xdr:col>
      <xdr:colOff>761760</xdr:colOff>
      <xdr:row>26</xdr:row>
      <xdr:rowOff>63360</xdr:rowOff>
    </xdr:to>
    <xdr:sp>
      <xdr:nvSpPr>
        <xdr:cNvPr id="1" name=""/>
        <xdr:cNvSpPr/>
      </xdr:nvSpPr>
      <xdr:spPr>
        <a:xfrm>
          <a:off x="97751880" y="0"/>
          <a:ext cx="8381880" cy="534672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114</xdr:col>
      <xdr:colOff>787320</xdr:colOff>
      <xdr:row>47</xdr:row>
      <xdr:rowOff>76320</xdr:rowOff>
    </xdr:from>
    <xdr:to>
      <xdr:col>123</xdr:col>
      <xdr:colOff>558720</xdr:colOff>
      <xdr:row>65</xdr:row>
      <xdr:rowOff>63720</xdr:rowOff>
    </xdr:to>
    <xdr:sp>
      <xdr:nvSpPr>
        <xdr:cNvPr id="2" name=""/>
        <xdr:cNvSpPr/>
      </xdr:nvSpPr>
      <xdr:spPr>
        <a:xfrm>
          <a:off x="93967200" y="9626760"/>
          <a:ext cx="7086600" cy="36450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126</xdr:col>
      <xdr:colOff>165240</xdr:colOff>
      <xdr:row>41</xdr:row>
      <xdr:rowOff>139680</xdr:rowOff>
    </xdr:from>
    <xdr:to>
      <xdr:col>135</xdr:col>
      <xdr:colOff>63720</xdr:colOff>
      <xdr:row>60</xdr:row>
      <xdr:rowOff>75960</xdr:rowOff>
    </xdr:to>
    <xdr:sp>
      <xdr:nvSpPr>
        <xdr:cNvPr id="3" name=""/>
        <xdr:cNvSpPr/>
      </xdr:nvSpPr>
      <xdr:spPr>
        <a:xfrm>
          <a:off x="103098600" y="8470800"/>
          <a:ext cx="7213680" cy="379728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118</xdr:col>
      <xdr:colOff>723960</xdr:colOff>
      <xdr:row>42</xdr:row>
      <xdr:rowOff>12600</xdr:rowOff>
    </xdr:from>
    <xdr:to>
      <xdr:col>123</xdr:col>
      <xdr:colOff>432000</xdr:colOff>
      <xdr:row>53</xdr:row>
      <xdr:rowOff>88920</xdr:rowOff>
    </xdr:to>
    <xdr:sp>
      <xdr:nvSpPr>
        <xdr:cNvPr id="4" name=""/>
        <xdr:cNvSpPr/>
      </xdr:nvSpPr>
      <xdr:spPr>
        <a:xfrm>
          <a:off x="97155000" y="8547120"/>
          <a:ext cx="3772080" cy="2311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5</xdr:col>
      <xdr:colOff>495360</xdr:colOff>
      <xdr:row>18</xdr:row>
      <xdr:rowOff>0</xdr:rowOff>
    </xdr:from>
    <xdr:to>
      <xdr:col>162</xdr:col>
      <xdr:colOff>292320</xdr:colOff>
      <xdr:row>1235</xdr:row>
      <xdr:rowOff>122040</xdr:rowOff>
    </xdr:to>
    <xdr:sp>
      <xdr:nvSpPr>
        <xdr:cNvPr id="5" name=""/>
        <xdr:cNvSpPr/>
      </xdr:nvSpPr>
      <xdr:spPr>
        <a:xfrm>
          <a:off x="5079960" y="3657600"/>
          <a:ext cx="127406520" cy="2048256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6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7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8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9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0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1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2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3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4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5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6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7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8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19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0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1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2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3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4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5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6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7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8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29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30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31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32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-130894920</xdr:colOff>
      <xdr:row>17</xdr:row>
      <xdr:rowOff>152280</xdr:rowOff>
    </xdr:from>
    <xdr:to>
      <xdr:col>175</xdr:col>
      <xdr:colOff>41760</xdr:colOff>
      <xdr:row>28</xdr:row>
      <xdr:rowOff>152640</xdr:rowOff>
    </xdr:to>
    <xdr:sp>
      <xdr:nvSpPr>
        <xdr:cNvPr id="33" name=""/>
        <xdr:cNvSpPr/>
      </xdr:nvSpPr>
      <xdr:spPr>
        <a:xfrm rot="10800000">
          <a:off x="-272453040" y="3606480"/>
          <a:ext cx="273697560" cy="22352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T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92"/>
  </cols>
  <sheetData>
    <row r="1" customFormat="false" ht="16" hidden="false" customHeight="true" outlineLevel="0" collapsed="false">
      <c r="A1" s="1" t="s">
        <v>0</v>
      </c>
      <c r="BZ1" s="1" t="s">
        <v>1</v>
      </c>
    </row>
    <row r="2" customFormat="false" ht="16" hidden="false" customHeight="true" outlineLevel="0" collapsed="false">
      <c r="BY2" s="1" t="s">
        <v>2</v>
      </c>
      <c r="CB2" s="1" t="n">
        <v>-3.5589073</v>
      </c>
      <c r="CW2" s="1" t="s">
        <v>3</v>
      </c>
      <c r="DD2" s="1" t="s">
        <v>4</v>
      </c>
    </row>
    <row r="3" customFormat="false" ht="16" hidden="false" customHeight="true" outlineLevel="0" collapsed="false">
      <c r="BY3" s="1" t="s">
        <v>5</v>
      </c>
      <c r="CB3" s="1" t="n">
        <v>0.38410848</v>
      </c>
      <c r="CG3" s="1" t="s">
        <v>6</v>
      </c>
    </row>
    <row r="4" customFormat="false" ht="16" hidden="false" customHeight="true" outlineLevel="0" collapsed="false">
      <c r="AK4" s="1" t="s">
        <v>7</v>
      </c>
      <c r="BY4" s="1" t="s">
        <v>8</v>
      </c>
      <c r="CB4" s="1" t="n">
        <v>0.90551423</v>
      </c>
      <c r="CH4" s="1" t="s">
        <v>9</v>
      </c>
      <c r="CI4" s="1" t="s">
        <v>10</v>
      </c>
      <c r="CJ4" s="1" t="s">
        <v>11</v>
      </c>
      <c r="CK4" s="1" t="s">
        <v>12</v>
      </c>
      <c r="CN4" s="1" t="s">
        <v>13</v>
      </c>
      <c r="CW4" s="1" t="n">
        <v>0</v>
      </c>
      <c r="CX4" s="1" t="n">
        <v>5</v>
      </c>
      <c r="CY4" s="1" t="n">
        <v>89071.8</v>
      </c>
      <c r="CZ4" s="1" t="n">
        <v>0.0967</v>
      </c>
      <c r="DA4" s="1" t="n">
        <v>89071.8</v>
      </c>
      <c r="DB4" s="1" t="n">
        <v>0.0967</v>
      </c>
      <c r="DD4" s="1" t="n">
        <v>0</v>
      </c>
      <c r="DE4" s="1" t="n">
        <v>5</v>
      </c>
      <c r="DF4" s="1" t="n">
        <v>7245.488</v>
      </c>
      <c r="DG4" s="1" t="n">
        <v>0.045</v>
      </c>
      <c r="DH4" s="1" t="n">
        <v>7245.488</v>
      </c>
      <c r="DI4" s="1" t="n">
        <v>0.045</v>
      </c>
      <c r="DJ4" s="1" t="n">
        <f aca="false">DF4/$DF$23</f>
        <v>0.04803962</v>
      </c>
      <c r="DK4" s="1" t="n">
        <f aca="false">DI4/SUM($DG$4:$DG$20)</f>
        <v>0.04908377</v>
      </c>
    </row>
    <row r="5" customFormat="false" ht="1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 t="s">
        <v>15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 t="s">
        <v>16</v>
      </c>
      <c r="BZ5" s="1"/>
      <c r="CA5" s="1"/>
      <c r="CB5" s="1" t="n">
        <v>18</v>
      </c>
      <c r="CC5" s="1"/>
      <c r="CD5" s="1"/>
      <c r="CE5" s="1"/>
      <c r="CF5" s="1" t="n">
        <v>0</v>
      </c>
      <c r="CG5" s="1" t="n">
        <v>5</v>
      </c>
      <c r="CH5" s="1" t="n">
        <v>64399.46</v>
      </c>
      <c r="CI5" s="1" t="n">
        <v>0.079</v>
      </c>
      <c r="CJ5" s="1" t="n">
        <v>64399.46</v>
      </c>
      <c r="CK5" s="1" t="n">
        <v>0.079</v>
      </c>
      <c r="CL5" s="1"/>
      <c r="CM5" s="1"/>
      <c r="CN5" s="2" t="n">
        <v>0.067481884</v>
      </c>
      <c r="CQ5" s="1" t="s">
        <v>1</v>
      </c>
      <c r="CW5" s="1" t="n">
        <v>5</v>
      </c>
      <c r="CX5" s="1" t="n">
        <v>10</v>
      </c>
      <c r="CY5" s="1" t="n">
        <v>98670.66</v>
      </c>
      <c r="CZ5" s="1" t="n">
        <v>0.1071</v>
      </c>
      <c r="DA5" s="1" t="n">
        <v>187742.5</v>
      </c>
      <c r="DB5" s="1" t="n">
        <v>0.2038</v>
      </c>
      <c r="DD5" s="1" t="n">
        <v>5</v>
      </c>
      <c r="DE5" s="1" t="n">
        <v>10</v>
      </c>
      <c r="DF5" s="1" t="n">
        <v>4857.656</v>
      </c>
      <c r="DG5" s="1" t="n">
        <v>0.0301</v>
      </c>
      <c r="DH5" s="1" t="n">
        <v>12103.14</v>
      </c>
      <c r="DI5" s="1" t="n">
        <v>0.0751</v>
      </c>
      <c r="DJ5" s="1" t="n">
        <f aca="false">DF5/$DF$23</f>
        <v>0.032207623</v>
      </c>
      <c r="DK5" s="1" t="n">
        <f aca="false">DI5/SUM($DG$4:$DG$20)</f>
        <v>0.081915358</v>
      </c>
    </row>
    <row r="6" customFormat="false" ht="16" hidden="false" customHeight="true" outlineLevel="0" collapsed="false">
      <c r="A6" s="1"/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/>
      <c r="Q6" s="1" t="s">
        <v>31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32</v>
      </c>
      <c r="AG6" s="1" t="s">
        <v>33</v>
      </c>
      <c r="AH6" s="1"/>
      <c r="AI6" s="1"/>
      <c r="AJ6" s="1"/>
      <c r="AK6" s="1" t="s">
        <v>17</v>
      </c>
      <c r="AL6" s="1" t="s">
        <v>18</v>
      </c>
      <c r="AM6" s="1" t="s">
        <v>19</v>
      </c>
      <c r="AN6" s="1" t="s">
        <v>20</v>
      </c>
      <c r="AO6" s="1" t="s">
        <v>21</v>
      </c>
      <c r="AP6" s="1" t="s">
        <v>22</v>
      </c>
      <c r="AQ6" s="1" t="s">
        <v>23</v>
      </c>
      <c r="AR6" s="1" t="s">
        <v>24</v>
      </c>
      <c r="AS6" s="1" t="s">
        <v>25</v>
      </c>
      <c r="AT6" s="1" t="s">
        <v>26</v>
      </c>
      <c r="AU6" s="1" t="s">
        <v>27</v>
      </c>
      <c r="AV6" s="1" t="s">
        <v>28</v>
      </c>
      <c r="AW6" s="1" t="s">
        <v>29</v>
      </c>
      <c r="AX6" s="1" t="s">
        <v>30</v>
      </c>
      <c r="AY6" s="1" t="s">
        <v>32</v>
      </c>
      <c r="AZ6" s="1" t="s">
        <v>33</v>
      </c>
      <c r="BA6" s="1"/>
      <c r="BB6" s="1" t="s">
        <v>17</v>
      </c>
      <c r="BC6" s="1" t="s">
        <v>18</v>
      </c>
      <c r="BD6" s="1" t="s">
        <v>19</v>
      </c>
      <c r="BE6" s="1" t="s">
        <v>20</v>
      </c>
      <c r="BF6" s="1" t="s">
        <v>21</v>
      </c>
      <c r="BG6" s="1" t="s">
        <v>22</v>
      </c>
      <c r="BH6" s="1" t="s">
        <v>23</v>
      </c>
      <c r="BI6" s="1" t="s">
        <v>24</v>
      </c>
      <c r="BJ6" s="1" t="s">
        <v>25</v>
      </c>
      <c r="BK6" s="1" t="s">
        <v>26</v>
      </c>
      <c r="BL6" s="1" t="s">
        <v>27</v>
      </c>
      <c r="BM6" s="1" t="s">
        <v>28</v>
      </c>
      <c r="BN6" s="1" t="s">
        <v>29</v>
      </c>
      <c r="BO6" s="1" t="s">
        <v>30</v>
      </c>
      <c r="BP6" s="1"/>
      <c r="BQ6" s="1" t="s">
        <v>34</v>
      </c>
      <c r="BR6" s="1" t="s">
        <v>35</v>
      </c>
      <c r="BS6" s="1" t="s">
        <v>36</v>
      </c>
      <c r="BT6" s="1" t="s">
        <v>37</v>
      </c>
      <c r="BU6" s="1" t="s">
        <v>34</v>
      </c>
      <c r="BV6" s="1" t="s">
        <v>38</v>
      </c>
      <c r="BW6" s="1" t="s">
        <v>39</v>
      </c>
      <c r="BX6" s="1" t="s">
        <v>40</v>
      </c>
      <c r="BY6" s="1" t="s">
        <v>41</v>
      </c>
      <c r="BZ6" s="1"/>
      <c r="CA6" s="1"/>
      <c r="CB6" s="1" t="n">
        <v>15</v>
      </c>
      <c r="CC6" s="1"/>
      <c r="CD6" s="1"/>
      <c r="CE6" s="1"/>
      <c r="CF6" s="1" t="n">
        <v>5</v>
      </c>
      <c r="CG6" s="1" t="n">
        <v>10</v>
      </c>
      <c r="CH6" s="1" t="n">
        <v>57638.08</v>
      </c>
      <c r="CI6" s="1" t="n">
        <v>0.0707</v>
      </c>
      <c r="CJ6" s="1" t="n">
        <v>122037.5</v>
      </c>
      <c r="CK6" s="1" t="n">
        <v>0.1497</v>
      </c>
      <c r="CL6" s="1"/>
      <c r="CM6" s="1"/>
      <c r="CN6" s="2" t="n">
        <v>0.10676637</v>
      </c>
      <c r="CP6" s="1" t="s">
        <v>2</v>
      </c>
      <c r="CS6" s="1" t="n">
        <v>0.0039642923</v>
      </c>
      <c r="CW6" s="1" t="n">
        <v>10</v>
      </c>
      <c r="CX6" s="1" t="n">
        <v>15</v>
      </c>
      <c r="CY6" s="1" t="n">
        <v>113154.9</v>
      </c>
      <c r="CZ6" s="1" t="n">
        <v>0.1228</v>
      </c>
      <c r="DA6" s="1" t="n">
        <v>300897.4</v>
      </c>
      <c r="DB6" s="1" t="n">
        <v>0.3266</v>
      </c>
      <c r="DD6" s="1" t="n">
        <v>10</v>
      </c>
      <c r="DE6" s="1" t="n">
        <v>15</v>
      </c>
      <c r="DF6" s="1" t="n">
        <v>8788.825</v>
      </c>
      <c r="DG6" s="1" t="n">
        <v>0.0545</v>
      </c>
      <c r="DH6" s="1" t="n">
        <v>20891.97</v>
      </c>
      <c r="DI6" s="1" t="n">
        <v>0.1296</v>
      </c>
      <c r="DJ6" s="1" t="n">
        <f aca="false">DF6/$DF$23</f>
        <v>0.058272378</v>
      </c>
      <c r="DK6" s="1" t="n">
        <f aca="false">DI6/SUM($DG$4:$DG$20)</f>
        <v>0.14136126</v>
      </c>
    </row>
    <row r="7" customFormat="false" ht="16" hidden="false" customHeight="true" outlineLevel="0" collapsed="false">
      <c r="A7" s="1" t="n">
        <v>2.5</v>
      </c>
      <c r="B7" s="1" t="n">
        <v>235</v>
      </c>
      <c r="C7" s="1" t="n">
        <v>390</v>
      </c>
      <c r="D7" s="1" t="n">
        <v>124097</v>
      </c>
      <c r="E7" s="1" t="n">
        <v>11304</v>
      </c>
      <c r="F7" s="1" t="n">
        <v>3625</v>
      </c>
      <c r="G7" s="1" t="n">
        <v>17193</v>
      </c>
      <c r="H7" s="1" t="n">
        <v>1014</v>
      </c>
      <c r="I7" s="1" t="n">
        <v>5545</v>
      </c>
      <c r="J7" s="1" t="n">
        <v>32537</v>
      </c>
      <c r="K7" s="1" t="n">
        <v>3506</v>
      </c>
      <c r="L7" s="1" t="n">
        <f aca="false">E7+F7+G7</f>
        <v>32122</v>
      </c>
      <c r="M7" s="1" t="n">
        <f aca="false">K7+I7+H7</f>
        <v>10065</v>
      </c>
      <c r="N7" s="1" t="n">
        <f aca="false">M7+B7+C7</f>
        <v>10690</v>
      </c>
      <c r="O7" s="1" t="n">
        <f aca="false">SUM(B7:L7)</f>
        <v>231568</v>
      </c>
      <c r="P7" s="1"/>
      <c r="Q7" s="1" t="n">
        <v>1</v>
      </c>
      <c r="R7" s="3" t="n">
        <f aca="false">B7</f>
        <v>235</v>
      </c>
      <c r="S7" s="3" t="n">
        <f aca="false">C7</f>
        <v>390</v>
      </c>
      <c r="T7" s="3" t="n">
        <f aca="false">D7</f>
        <v>124097</v>
      </c>
      <c r="U7" s="3" t="n">
        <f aca="false">E7</f>
        <v>11304</v>
      </c>
      <c r="V7" s="3" t="n">
        <f aca="false">F7</f>
        <v>3625</v>
      </c>
      <c r="W7" s="3" t="n">
        <f aca="false">G7</f>
        <v>17193</v>
      </c>
      <c r="X7" s="3" t="n">
        <f aca="false">H7</f>
        <v>1014</v>
      </c>
      <c r="Y7" s="3" t="n">
        <f aca="false">I7</f>
        <v>5545</v>
      </c>
      <c r="Z7" s="3" t="n">
        <f aca="false">J7</f>
        <v>32537</v>
      </c>
      <c r="AA7" s="3" t="n">
        <f aca="false">K7</f>
        <v>3506</v>
      </c>
      <c r="AB7" s="3" t="n">
        <f aca="false">L7</f>
        <v>32122</v>
      </c>
      <c r="AC7" s="3" t="n">
        <f aca="false">M7</f>
        <v>10065</v>
      </c>
      <c r="AD7" s="3" t="n">
        <f aca="false">N7</f>
        <v>10690</v>
      </c>
      <c r="AE7" s="3" t="n">
        <f aca="false">O7</f>
        <v>231568</v>
      </c>
      <c r="AF7" s="1" t="n">
        <f aca="false">AD7+Z7</f>
        <v>43227</v>
      </c>
      <c r="AG7" s="1" t="n">
        <f aca="false">AE7-AF7</f>
        <v>188341</v>
      </c>
      <c r="AH7" s="1"/>
      <c r="AI7" s="1"/>
      <c r="AJ7" s="1" t="n">
        <f aca="false">A7</f>
        <v>2.5</v>
      </c>
      <c r="AK7" s="2" t="n">
        <f aca="false">R7/R$27</f>
        <v>0.0061913795</v>
      </c>
      <c r="AL7" s="2" t="n">
        <f aca="false">S7/S$27</f>
        <v>0.016566841</v>
      </c>
      <c r="AM7" s="2" t="n">
        <f aca="false">T7/T$27</f>
        <v>0.06628267</v>
      </c>
      <c r="AN7" s="2" t="n">
        <f aca="false">U7/U$27</f>
        <v>0.06560117</v>
      </c>
      <c r="AO7" s="2" t="n">
        <f aca="false">V7/V$27</f>
        <v>0.053441642</v>
      </c>
      <c r="AP7" s="2" t="n">
        <f aca="false">W7/W$27</f>
        <v>0.06411686</v>
      </c>
      <c r="AQ7" s="2" t="n">
        <f aca="false">X7/X$27</f>
        <v>0.026282367</v>
      </c>
      <c r="AR7" s="2" t="n">
        <f aca="false">Y7/Y$27</f>
        <v>0.058007553</v>
      </c>
      <c r="AS7" s="2" t="n">
        <f aca="false">Z7/Z$27</f>
        <v>0.25594896</v>
      </c>
      <c r="AT7" s="2" t="n">
        <f aca="false">AA7/AA$27</f>
        <v>0.015941073</v>
      </c>
      <c r="AU7" s="2" t="n">
        <f aca="false">AB7/AB$27</f>
        <v>0.063195461</v>
      </c>
      <c r="AV7" s="2" t="n">
        <f aca="false">AC7/AC$27</f>
        <v>0.028423612</v>
      </c>
      <c r="AW7" s="2" t="n">
        <f aca="false">AD7/AD$27</f>
        <v>0.0257216</v>
      </c>
      <c r="AX7" s="2" t="n">
        <f aca="false">AE7/AE$27</f>
        <v>0.067481884</v>
      </c>
      <c r="AY7" s="2" t="n">
        <f aca="false">AF7/AF$27</f>
        <v>0.079647779</v>
      </c>
      <c r="AZ7" s="2" t="n">
        <f aca="false">AG7/AG$27</f>
        <v>0.065196268</v>
      </c>
      <c r="BA7" s="1"/>
      <c r="BB7" s="2" t="n">
        <f aca="false">AK7</f>
        <v>0.0061913795</v>
      </c>
      <c r="BC7" s="2" t="n">
        <f aca="false">AL7</f>
        <v>0.016566841</v>
      </c>
      <c r="BD7" s="2" t="n">
        <f aca="false">AM7</f>
        <v>0.06628267</v>
      </c>
      <c r="BE7" s="2" t="n">
        <f aca="false">AN7</f>
        <v>0.06560117</v>
      </c>
      <c r="BF7" s="2" t="n">
        <f aca="false">AO7</f>
        <v>0.053441642</v>
      </c>
      <c r="BG7" s="2" t="n">
        <f aca="false">AP7</f>
        <v>0.06411686</v>
      </c>
      <c r="BH7" s="2" t="n">
        <f aca="false">AQ7</f>
        <v>0.026282367</v>
      </c>
      <c r="BI7" s="2" t="n">
        <f aca="false">AR7</f>
        <v>0.058007553</v>
      </c>
      <c r="BJ7" s="2" t="n">
        <f aca="false">AS7</f>
        <v>0.25594896</v>
      </c>
      <c r="BK7" s="2" t="n">
        <f aca="false">AT7</f>
        <v>0.015941073</v>
      </c>
      <c r="BL7" s="2" t="n">
        <f aca="false">AU7</f>
        <v>0.063195461</v>
      </c>
      <c r="BM7" s="2" t="n">
        <f aca="false">AV7</f>
        <v>0.028423612</v>
      </c>
      <c r="BN7" s="2" t="n">
        <f aca="false">AW7</f>
        <v>0.0257216</v>
      </c>
      <c r="BO7" s="2" t="n">
        <f aca="false">AX7</f>
        <v>0.067481884</v>
      </c>
      <c r="BP7" s="1"/>
      <c r="BQ7" s="1" t="n">
        <v>2.5</v>
      </c>
      <c r="BR7" s="2" t="n">
        <f aca="false">AX7</f>
        <v>0.067481884</v>
      </c>
      <c r="BS7" s="1" t="n">
        <f aca="false">LN(BR7)</f>
        <v>-2.6958961</v>
      </c>
      <c r="BT7" s="1" t="n">
        <f aca="false">BU7*BU7</f>
        <v>6.25</v>
      </c>
      <c r="BU7" s="1" t="n">
        <f aca="false">BQ7</f>
        <v>2.5</v>
      </c>
      <c r="BV7" s="2" t="n">
        <f aca="false">SQRT(BQ7)</f>
        <v>1.5811388</v>
      </c>
      <c r="BW7" s="2" t="n">
        <f aca="false">EXP(+$CB$2+$CA$8*BU7+$CB$8*BV7)</f>
        <v>0.074123498</v>
      </c>
      <c r="BX7" s="2" t="n">
        <f aca="false">(BW7/$BW$26)</f>
        <v>0.077629152</v>
      </c>
      <c r="BY7" s="1"/>
      <c r="BZ7" s="1"/>
      <c r="CA7" s="1"/>
      <c r="CB7" s="1"/>
      <c r="CC7" s="1"/>
      <c r="CD7" s="1"/>
      <c r="CE7" s="1"/>
      <c r="CF7" s="1" t="n">
        <v>10</v>
      </c>
      <c r="CG7" s="1" t="n">
        <v>15</v>
      </c>
      <c r="CH7" s="1" t="n">
        <v>84848.71</v>
      </c>
      <c r="CI7" s="1" t="n">
        <v>0.1041</v>
      </c>
      <c r="CJ7" s="1" t="n">
        <v>206886.2</v>
      </c>
      <c r="CK7" s="1" t="n">
        <v>0.2538</v>
      </c>
      <c r="CL7" s="1"/>
      <c r="CM7" s="1"/>
      <c r="CN7" s="2" t="n">
        <v>0.13958674</v>
      </c>
      <c r="CP7" s="1" t="s">
        <v>5</v>
      </c>
      <c r="CS7" s="1" t="n">
        <v>0.021624547</v>
      </c>
      <c r="CW7" s="1" t="n">
        <v>15</v>
      </c>
      <c r="CX7" s="1" t="n">
        <v>20</v>
      </c>
      <c r="CY7" s="1" t="n">
        <v>121602.5</v>
      </c>
      <c r="CZ7" s="1" t="n">
        <v>0.132</v>
      </c>
      <c r="DA7" s="1" t="n">
        <v>422499.9</v>
      </c>
      <c r="DB7" s="1" t="n">
        <v>0.4586</v>
      </c>
      <c r="DD7" s="1" t="n">
        <v>15</v>
      </c>
      <c r="DE7" s="1" t="n">
        <v>20</v>
      </c>
      <c r="DF7" s="1" t="n">
        <v>11704.21</v>
      </c>
      <c r="DG7" s="1" t="n">
        <v>0.0726</v>
      </c>
      <c r="DH7" s="1" t="n">
        <v>32596.18</v>
      </c>
      <c r="DI7" s="1" t="n">
        <v>0.2022</v>
      </c>
      <c r="DJ7" s="1" t="n">
        <f aca="false">DF7/$DF$23</f>
        <v>0.077602199</v>
      </c>
      <c r="DK7" s="1" t="n">
        <f aca="false">DI7/SUM($DG$4:$DG$20)</f>
        <v>0.22054974</v>
      </c>
    </row>
    <row r="8" customFormat="false" ht="16" hidden="false" customHeight="true" outlineLevel="0" collapsed="false">
      <c r="A8" s="1" t="n">
        <v>7.5</v>
      </c>
      <c r="B8" s="1" t="n">
        <v>456</v>
      </c>
      <c r="C8" s="1" t="n">
        <v>894</v>
      </c>
      <c r="D8" s="1" t="n">
        <v>218922</v>
      </c>
      <c r="E8" s="1" t="n">
        <v>18429</v>
      </c>
      <c r="F8" s="1" t="n">
        <v>5830</v>
      </c>
      <c r="G8" s="1" t="n">
        <v>26285</v>
      </c>
      <c r="H8" s="1" t="n">
        <v>0</v>
      </c>
      <c r="I8" s="1" t="n">
        <v>8420</v>
      </c>
      <c r="J8" s="1" t="n">
        <v>27546</v>
      </c>
      <c r="K8" s="1" t="n">
        <v>9049</v>
      </c>
      <c r="L8" s="1" t="n">
        <f aca="false">E8+F8+G8</f>
        <v>50544</v>
      </c>
      <c r="M8" s="1" t="n">
        <f aca="false">K8+I8+H8</f>
        <v>17469</v>
      </c>
      <c r="N8" s="1" t="n">
        <f aca="false">M8+B8+C8</f>
        <v>18819</v>
      </c>
      <c r="O8" s="1" t="n">
        <f aca="false">SUM(B8:L8)</f>
        <v>366375</v>
      </c>
      <c r="P8" s="1"/>
      <c r="Q8" s="1" t="n">
        <v>3</v>
      </c>
      <c r="R8" s="3" t="n">
        <f aca="false">B8</f>
        <v>456</v>
      </c>
      <c r="S8" s="3" t="n">
        <f aca="false">C8</f>
        <v>894</v>
      </c>
      <c r="T8" s="3" t="n">
        <f aca="false">D8</f>
        <v>218922</v>
      </c>
      <c r="U8" s="3" t="n">
        <f aca="false">E8</f>
        <v>18429</v>
      </c>
      <c r="V8" s="3" t="n">
        <f aca="false">F8</f>
        <v>5830</v>
      </c>
      <c r="W8" s="3" t="n">
        <f aca="false">G8</f>
        <v>26285</v>
      </c>
      <c r="X8" s="3" t="n">
        <f aca="false">H8</f>
        <v>0</v>
      </c>
      <c r="Y8" s="3" t="n">
        <f aca="false">I8</f>
        <v>8420</v>
      </c>
      <c r="Z8" s="3" t="n">
        <f aca="false">J8</f>
        <v>27546</v>
      </c>
      <c r="AA8" s="3" t="n">
        <f aca="false">K8</f>
        <v>9049</v>
      </c>
      <c r="AB8" s="3" t="n">
        <f aca="false">L8</f>
        <v>50544</v>
      </c>
      <c r="AC8" s="3" t="n">
        <f aca="false">M8</f>
        <v>17469</v>
      </c>
      <c r="AD8" s="3" t="n">
        <f aca="false">N8</f>
        <v>18819</v>
      </c>
      <c r="AE8" s="3" t="n">
        <f aca="false">O8</f>
        <v>366375</v>
      </c>
      <c r="AF8" s="1" t="n">
        <f aca="false">AD8+Z8</f>
        <v>46365</v>
      </c>
      <c r="AG8" s="1" t="n">
        <f aca="false">AE8-AF8</f>
        <v>320010</v>
      </c>
      <c r="AH8" s="1"/>
      <c r="AI8" s="1"/>
      <c r="AJ8" s="1" t="n">
        <f aca="false">A8</f>
        <v>7.5</v>
      </c>
      <c r="AK8" s="2" t="n">
        <f aca="false">R8/R$27</f>
        <v>0.012013911</v>
      </c>
      <c r="AL8" s="2" t="n">
        <f aca="false">S8/S$27</f>
        <v>0.037976297</v>
      </c>
      <c r="AM8" s="2" t="n">
        <f aca="false">T8/T$27</f>
        <v>0.11693058</v>
      </c>
      <c r="AN8" s="2" t="n">
        <f aca="false">U8/U$27</f>
        <v>0.1069501</v>
      </c>
      <c r="AO8" s="2" t="n">
        <f aca="false">V8/V$27</f>
        <v>0.085948902</v>
      </c>
      <c r="AP8" s="2" t="n">
        <f aca="false">W8/W$27</f>
        <v>0.098023129</v>
      </c>
      <c r="AQ8" s="2" t="n">
        <f aca="false">X8/X$27</f>
        <v>0</v>
      </c>
      <c r="AR8" s="2" t="n">
        <f aca="false">Y8/Y$27</f>
        <v>0.088083606</v>
      </c>
      <c r="AS8" s="2" t="n">
        <f aca="false">Z8/Z$27</f>
        <v>0.21668777</v>
      </c>
      <c r="AT8" s="2" t="n">
        <f aca="false">AA8/AA$27</f>
        <v>0.041143974</v>
      </c>
      <c r="AU8" s="2" t="n">
        <f aca="false">AB8/AB$27</f>
        <v>0.099438123</v>
      </c>
      <c r="AV8" s="2" t="n">
        <f aca="false">AC8/AC$27</f>
        <v>0.049332546</v>
      </c>
      <c r="AW8" s="2" t="n">
        <f aca="false">AD8/AD$27</f>
        <v>0.045281085</v>
      </c>
      <c r="AX8" s="2" t="n">
        <f aca="false">AE8/AE$27</f>
        <v>0.10676637</v>
      </c>
      <c r="AY8" s="2" t="n">
        <f aca="false">AF8/AF$27</f>
        <v>0.085429691</v>
      </c>
      <c r="AZ8" s="2" t="n">
        <f aca="false">AG8/AG$27</f>
        <v>0.11077491</v>
      </c>
      <c r="BA8" s="1"/>
      <c r="BB8" s="2" t="n">
        <f aca="false">AK8+BB7</f>
        <v>0.01820529</v>
      </c>
      <c r="BC8" s="2" t="n">
        <f aca="false">AL8+BC7</f>
        <v>0.054543138</v>
      </c>
      <c r="BD8" s="2" t="n">
        <f aca="false">AM8+BD7</f>
        <v>0.18321325</v>
      </c>
      <c r="BE8" s="2" t="n">
        <f aca="false">AN8+BE7</f>
        <v>0.17255127</v>
      </c>
      <c r="BF8" s="2" t="n">
        <f aca="false">AO8+BF7</f>
        <v>0.13939054</v>
      </c>
      <c r="BG8" s="2" t="n">
        <f aca="false">AP8+BG7</f>
        <v>0.16213999</v>
      </c>
      <c r="BH8" s="2" t="n">
        <f aca="false">AQ8+BH7</f>
        <v>0.026282367</v>
      </c>
      <c r="BI8" s="2" t="n">
        <f aca="false">AR8+BI7</f>
        <v>0.14609116</v>
      </c>
      <c r="BJ8" s="2" t="n">
        <f aca="false">AS8+BJ7</f>
        <v>0.47263674</v>
      </c>
      <c r="BK8" s="2" t="n">
        <f aca="false">AT8+BK7</f>
        <v>0.057085048</v>
      </c>
      <c r="BL8" s="2" t="n">
        <f aca="false">AU8+BL7</f>
        <v>0.16263358</v>
      </c>
      <c r="BM8" s="2" t="n">
        <f aca="false">AV8+BM7</f>
        <v>0.077756158</v>
      </c>
      <c r="BN8" s="2" t="n">
        <f aca="false">AW8+BN7</f>
        <v>0.071002685</v>
      </c>
      <c r="BO8" s="2" t="n">
        <f aca="false">AX8+BO7</f>
        <v>0.17424826</v>
      </c>
      <c r="BP8" s="1"/>
      <c r="BQ8" s="1" t="n">
        <v>7.5</v>
      </c>
      <c r="BR8" s="2" t="n">
        <f aca="false">AX8</f>
        <v>0.10676637</v>
      </c>
      <c r="BS8" s="1" t="n">
        <f aca="false">LN(BR8)</f>
        <v>-2.2371123</v>
      </c>
      <c r="BT8" s="1" t="n">
        <f aca="false">BU8*BU8</f>
        <v>56.25</v>
      </c>
      <c r="BU8" s="1" t="n">
        <f aca="false">BQ8</f>
        <v>7.5</v>
      </c>
      <c r="BV8" s="2" t="n">
        <f aca="false">SQRT(BQ8)</f>
        <v>2.7386128</v>
      </c>
      <c r="BW8" s="2" t="n">
        <f aca="false">EXP(+$CB$2+$CA$8*BU8+$CB$8*BV8)</f>
        <v>0.10719744</v>
      </c>
      <c r="BX8" s="2" t="n">
        <f aca="false">(BW8/$BW$26)</f>
        <v>0.11226732</v>
      </c>
      <c r="BY8" s="1" t="s">
        <v>42</v>
      </c>
      <c r="BZ8" s="1"/>
      <c r="CA8" s="1" t="n">
        <v>-0.10459358</v>
      </c>
      <c r="CB8" s="1" t="n">
        <v>0.77056393</v>
      </c>
      <c r="CC8" s="1"/>
      <c r="CD8" s="1"/>
      <c r="CE8" s="1"/>
      <c r="CF8" s="1" t="n">
        <v>15</v>
      </c>
      <c r="CG8" s="1" t="n">
        <v>20</v>
      </c>
      <c r="CH8" s="1" t="n">
        <v>105241.1</v>
      </c>
      <c r="CI8" s="1" t="n">
        <v>0.1291</v>
      </c>
      <c r="CJ8" s="1" t="n">
        <v>312127.4</v>
      </c>
      <c r="CK8" s="1" t="n">
        <v>0.383</v>
      </c>
      <c r="CL8" s="1"/>
      <c r="CM8" s="1"/>
      <c r="CN8" s="2" t="n">
        <v>0.11121712</v>
      </c>
      <c r="CP8" s="1" t="s">
        <v>8</v>
      </c>
      <c r="CS8" s="1" t="n">
        <v>0.79398406</v>
      </c>
      <c r="CW8" s="1" t="n">
        <v>20</v>
      </c>
      <c r="CX8" s="1" t="n">
        <v>25</v>
      </c>
      <c r="CY8" s="1" t="n">
        <v>110027.7</v>
      </c>
      <c r="CZ8" s="1" t="n">
        <v>0.1194</v>
      </c>
      <c r="DA8" s="1" t="n">
        <v>532527.6</v>
      </c>
      <c r="DB8" s="1" t="n">
        <v>0.578</v>
      </c>
      <c r="DD8" s="1" t="n">
        <v>20</v>
      </c>
      <c r="DE8" s="1" t="n">
        <v>25</v>
      </c>
      <c r="DF8" s="1" t="n">
        <v>15783.34</v>
      </c>
      <c r="DG8" s="1" t="n">
        <v>0.0979</v>
      </c>
      <c r="DH8" s="1" t="n">
        <v>48379.52</v>
      </c>
      <c r="DI8" s="1" t="n">
        <v>0.3002</v>
      </c>
      <c r="DJ8" s="1" t="n">
        <f aca="false">DF8/$DF$23</f>
        <v>0.10464798</v>
      </c>
      <c r="DK8" s="1" t="n">
        <f aca="false">DI8/SUM($DG$4:$DG$20)</f>
        <v>0.32744328</v>
      </c>
    </row>
    <row r="9" customFormat="false" ht="16" hidden="false" customHeight="true" outlineLevel="0" collapsed="false">
      <c r="A9" s="1" t="n">
        <v>12.5</v>
      </c>
      <c r="B9" s="1" t="n">
        <v>1358</v>
      </c>
      <c r="C9" s="1" t="n">
        <v>2312</v>
      </c>
      <c r="D9" s="1" t="n">
        <v>289387</v>
      </c>
      <c r="E9" s="1" t="n">
        <v>20476</v>
      </c>
      <c r="F9" s="1" t="n">
        <v>7290</v>
      </c>
      <c r="G9" s="1" t="n">
        <v>36032</v>
      </c>
      <c r="H9" s="1" t="n">
        <v>712</v>
      </c>
      <c r="I9" s="1" t="n">
        <v>10511</v>
      </c>
      <c r="J9" s="1" t="n">
        <v>28559</v>
      </c>
      <c r="K9" s="1" t="n">
        <v>18565</v>
      </c>
      <c r="L9" s="1" t="n">
        <f aca="false">E9+F9+G9</f>
        <v>63798</v>
      </c>
      <c r="M9" s="1" t="n">
        <f aca="false">K9+I9+H9</f>
        <v>29788</v>
      </c>
      <c r="N9" s="1" t="n">
        <f aca="false">M9+B9+C9</f>
        <v>33458</v>
      </c>
      <c r="O9" s="1" t="n">
        <f aca="false">SUM(B9:L9)</f>
        <v>479000</v>
      </c>
      <c r="P9" s="1"/>
      <c r="Q9" s="1" t="n">
        <v>5</v>
      </c>
      <c r="R9" s="3" t="n">
        <f aca="false">B9</f>
        <v>1358</v>
      </c>
      <c r="S9" s="3" t="n">
        <f aca="false">C9</f>
        <v>2312</v>
      </c>
      <c r="T9" s="3" t="n">
        <f aca="false">D9</f>
        <v>289387</v>
      </c>
      <c r="U9" s="3" t="n">
        <f aca="false">E9</f>
        <v>20476</v>
      </c>
      <c r="V9" s="3" t="n">
        <f aca="false">F9</f>
        <v>7290</v>
      </c>
      <c r="W9" s="3" t="n">
        <f aca="false">G9</f>
        <v>36032</v>
      </c>
      <c r="X9" s="3" t="n">
        <f aca="false">H9</f>
        <v>712</v>
      </c>
      <c r="Y9" s="3" t="n">
        <f aca="false">I9</f>
        <v>10511</v>
      </c>
      <c r="Z9" s="3" t="n">
        <f aca="false">J9</f>
        <v>28559</v>
      </c>
      <c r="AA9" s="3" t="n">
        <f aca="false">K9</f>
        <v>18565</v>
      </c>
      <c r="AB9" s="3" t="n">
        <f aca="false">L9</f>
        <v>63798</v>
      </c>
      <c r="AC9" s="3" t="n">
        <f aca="false">M9</f>
        <v>29788</v>
      </c>
      <c r="AD9" s="3" t="n">
        <f aca="false">N9</f>
        <v>33458</v>
      </c>
      <c r="AE9" s="3" t="n">
        <f aca="false">O9</f>
        <v>479000</v>
      </c>
      <c r="AF9" s="1" t="n">
        <f aca="false">AD9+Z9</f>
        <v>62017</v>
      </c>
      <c r="AG9" s="1" t="n">
        <f aca="false">AE9-AF9</f>
        <v>416983</v>
      </c>
      <c r="AH9" s="1"/>
      <c r="AI9" s="1"/>
      <c r="AJ9" s="1" t="n">
        <f aca="false">A9</f>
        <v>12.5</v>
      </c>
      <c r="AK9" s="2" t="n">
        <f aca="false">R9/R$27</f>
        <v>0.03577827</v>
      </c>
      <c r="AL9" s="2" t="n">
        <f aca="false">S9/S$27</f>
        <v>0.098211631</v>
      </c>
      <c r="AM9" s="2" t="n">
        <f aca="false">T9/T$27</f>
        <v>0.15456734</v>
      </c>
      <c r="AN9" s="2" t="n">
        <f aca="false">U9/U$27</f>
        <v>0.11882958</v>
      </c>
      <c r="AO9" s="2" t="n">
        <f aca="false">V9/V$27</f>
        <v>0.10747298</v>
      </c>
      <c r="AP9" s="2" t="n">
        <f aca="false">W9/W$27</f>
        <v>0.13437205</v>
      </c>
      <c r="AQ9" s="2" t="n">
        <f aca="false">X9/X$27</f>
        <v>0.01845468</v>
      </c>
      <c r="AR9" s="2" t="n">
        <f aca="false">Y9/Y$27</f>
        <v>0.10995805</v>
      </c>
      <c r="AS9" s="2" t="n">
        <f aca="false">Z9/Z$27</f>
        <v>0.22465644</v>
      </c>
      <c r="AT9" s="2" t="n">
        <f aca="false">AA9/AA$27</f>
        <v>0.084411303</v>
      </c>
      <c r="AU9" s="2" t="n">
        <f aca="false">AB9/AB$27</f>
        <v>0.12551348</v>
      </c>
      <c r="AV9" s="2" t="n">
        <f aca="false">AC9/AC$27</f>
        <v>0.084121466</v>
      </c>
      <c r="AW9" s="2" t="n">
        <f aca="false">AD9/AD$27</f>
        <v>0.080504519</v>
      </c>
      <c r="AX9" s="2" t="n">
        <f aca="false">AE9/AE$27</f>
        <v>0.13958674</v>
      </c>
      <c r="AY9" s="2" t="n">
        <f aca="false">AF9/AF$27</f>
        <v>0.11426924</v>
      </c>
      <c r="AZ9" s="2" t="n">
        <f aca="false">AG9/AG$27</f>
        <v>0.14434316</v>
      </c>
      <c r="BA9" s="1"/>
      <c r="BB9" s="2" t="n">
        <f aca="false">AK9+BB8</f>
        <v>0.05398356</v>
      </c>
      <c r="BC9" s="2" t="n">
        <f aca="false">AL9+BC8</f>
        <v>0.15275477</v>
      </c>
      <c r="BD9" s="2" t="n">
        <f aca="false">AM9+BD8</f>
        <v>0.33778059</v>
      </c>
      <c r="BE9" s="2" t="n">
        <f aca="false">AN9+BE8</f>
        <v>0.29138085</v>
      </c>
      <c r="BF9" s="2" t="n">
        <f aca="false">AO9+BF8</f>
        <v>0.24686353</v>
      </c>
      <c r="BG9" s="2" t="n">
        <f aca="false">AP9+BG8</f>
        <v>0.29651204</v>
      </c>
      <c r="BH9" s="2" t="n">
        <f aca="false">AQ9+BH8</f>
        <v>0.044737047</v>
      </c>
      <c r="BI9" s="2" t="n">
        <f aca="false">AR9+BI8</f>
        <v>0.25604921</v>
      </c>
      <c r="BJ9" s="2" t="n">
        <f aca="false">AS9+BJ8</f>
        <v>0.69729317</v>
      </c>
      <c r="BK9" s="2" t="n">
        <f aca="false">AT9+BK8</f>
        <v>0.14149635</v>
      </c>
      <c r="BL9" s="2" t="n">
        <f aca="false">AU9+BL8</f>
        <v>0.28814706</v>
      </c>
      <c r="BM9" s="2" t="n">
        <f aca="false">AV9+BM8</f>
        <v>0.16187762</v>
      </c>
      <c r="BN9" s="2" t="n">
        <f aca="false">AW9+BN8</f>
        <v>0.1515072</v>
      </c>
      <c r="BO9" s="2" t="n">
        <f aca="false">AX9+BO8</f>
        <v>0.313835</v>
      </c>
      <c r="BP9" s="1"/>
      <c r="BQ9" s="1" t="n">
        <v>12.5</v>
      </c>
      <c r="BR9" s="2" t="n">
        <f aca="false">AX9</f>
        <v>0.13958674</v>
      </c>
      <c r="BS9" s="1" t="n">
        <f aca="false">LN(BR9)</f>
        <v>-1.9690691</v>
      </c>
      <c r="BT9" s="1" t="n">
        <f aca="false">BU9*BU9</f>
        <v>156.25</v>
      </c>
      <c r="BU9" s="1" t="n">
        <f aca="false">BQ9</f>
        <v>12.5</v>
      </c>
      <c r="BV9" s="2" t="n">
        <f aca="false">SQRT(BQ9)</f>
        <v>3.5355339</v>
      </c>
      <c r="BW9" s="2" t="n">
        <f aca="false">EXP(+$CB$2+$CA$8*BU9+$CB$8*BV9)</f>
        <v>0.11742305</v>
      </c>
      <c r="BX9" s="2" t="n">
        <f aca="false">(BW9/$BW$26)</f>
        <v>0.12297654</v>
      </c>
      <c r="BY9" s="1" t="s">
        <v>43</v>
      </c>
      <c r="BZ9" s="1"/>
      <c r="CA9" s="1" t="n">
        <v>0.018444189</v>
      </c>
      <c r="CB9" s="1" t="n">
        <v>0.21587953</v>
      </c>
      <c r="CC9" s="1"/>
      <c r="CD9" s="1"/>
      <c r="CE9" s="1"/>
      <c r="CF9" s="1" t="n">
        <v>20</v>
      </c>
      <c r="CG9" s="1" t="n">
        <v>25</v>
      </c>
      <c r="CH9" s="1" t="n">
        <v>100446.1</v>
      </c>
      <c r="CI9" s="1" t="n">
        <v>0.1232</v>
      </c>
      <c r="CJ9" s="1" t="n">
        <v>412573.5</v>
      </c>
      <c r="CK9" s="1" t="n">
        <v>0.5062</v>
      </c>
      <c r="CL9" s="1"/>
      <c r="CM9" s="1"/>
      <c r="CN9" s="2" t="n">
        <v>0.083277625</v>
      </c>
      <c r="CP9" s="1" t="s">
        <v>16</v>
      </c>
      <c r="CS9" s="1" t="n">
        <v>18</v>
      </c>
      <c r="CW9" s="1" t="n">
        <v>25</v>
      </c>
      <c r="CX9" s="1" t="n">
        <v>30</v>
      </c>
      <c r="CY9" s="1" t="n">
        <v>94345.63</v>
      </c>
      <c r="CZ9" s="1" t="n">
        <v>0.1024</v>
      </c>
      <c r="DA9" s="1" t="n">
        <v>626873.2</v>
      </c>
      <c r="DB9" s="1" t="n">
        <v>0.6804</v>
      </c>
      <c r="DD9" s="1" t="n">
        <v>25</v>
      </c>
      <c r="DE9" s="1" t="n">
        <v>30</v>
      </c>
      <c r="DF9" s="1" t="n">
        <v>15528.54</v>
      </c>
      <c r="DG9" s="1" t="n">
        <v>0.0963</v>
      </c>
      <c r="DH9" s="1" t="n">
        <v>63908.06</v>
      </c>
      <c r="DI9" s="1" t="n">
        <v>0.3965</v>
      </c>
      <c r="DJ9" s="1" t="n">
        <f aca="false">DF9/$DF$23</f>
        <v>0.10295858</v>
      </c>
      <c r="DK9" s="1" t="n">
        <f aca="false">DI9/SUM($DG$4:$DG$20)</f>
        <v>0.43248255</v>
      </c>
    </row>
    <row r="10" customFormat="false" ht="16" hidden="false" customHeight="true" outlineLevel="0" collapsed="false">
      <c r="A10" s="1" t="n">
        <v>17.5</v>
      </c>
      <c r="B10" s="1" t="n">
        <v>3104</v>
      </c>
      <c r="C10" s="1" t="n">
        <v>1333</v>
      </c>
      <c r="D10" s="1" t="n">
        <v>227272</v>
      </c>
      <c r="E10" s="1" t="n">
        <v>18850</v>
      </c>
      <c r="F10" s="1" t="n">
        <v>5173</v>
      </c>
      <c r="G10" s="1" t="n">
        <v>26429</v>
      </c>
      <c r="H10" s="1" t="n">
        <v>812</v>
      </c>
      <c r="I10" s="1" t="n">
        <v>6533</v>
      </c>
      <c r="J10" s="1" t="n">
        <v>11274</v>
      </c>
      <c r="K10" s="1" t="n">
        <v>30416</v>
      </c>
      <c r="L10" s="1" t="n">
        <f aca="false">E10+F10+G10</f>
        <v>50452</v>
      </c>
      <c r="M10" s="1" t="n">
        <f aca="false">K10+I10+H10</f>
        <v>37761</v>
      </c>
      <c r="N10" s="1" t="n">
        <f aca="false">M10+B10+C10</f>
        <v>42198</v>
      </c>
      <c r="O10" s="1" t="n">
        <f aca="false">SUM(B10:L10)</f>
        <v>381648</v>
      </c>
      <c r="P10" s="1"/>
      <c r="Q10" s="1" t="n">
        <v>7</v>
      </c>
      <c r="R10" s="3" t="n">
        <f aca="false">B10</f>
        <v>3104</v>
      </c>
      <c r="S10" s="3" t="n">
        <f aca="false">C10</f>
        <v>1333</v>
      </c>
      <c r="T10" s="3" t="n">
        <f aca="false">D10</f>
        <v>227272</v>
      </c>
      <c r="U10" s="3" t="n">
        <f aca="false">E10</f>
        <v>18850</v>
      </c>
      <c r="V10" s="3" t="n">
        <f aca="false">F10</f>
        <v>5173</v>
      </c>
      <c r="W10" s="3" t="n">
        <f aca="false">G10</f>
        <v>26429</v>
      </c>
      <c r="X10" s="3" t="n">
        <f aca="false">H10</f>
        <v>812</v>
      </c>
      <c r="Y10" s="3" t="n">
        <f aca="false">I10</f>
        <v>6533</v>
      </c>
      <c r="Z10" s="3" t="n">
        <f aca="false">J10</f>
        <v>11274</v>
      </c>
      <c r="AA10" s="3" t="n">
        <f aca="false">K10</f>
        <v>30416</v>
      </c>
      <c r="AB10" s="3" t="n">
        <f aca="false">L10</f>
        <v>50452</v>
      </c>
      <c r="AC10" s="3" t="n">
        <f aca="false">M10</f>
        <v>37761</v>
      </c>
      <c r="AD10" s="3" t="n">
        <f aca="false">N10</f>
        <v>42198</v>
      </c>
      <c r="AE10" s="3" t="n">
        <f aca="false">O10</f>
        <v>381648</v>
      </c>
      <c r="AF10" s="1" t="n">
        <f aca="false">AD10+Z10</f>
        <v>53472</v>
      </c>
      <c r="AG10" s="1" t="n">
        <f aca="false">AE10-AF10</f>
        <v>328176</v>
      </c>
      <c r="AH10" s="1"/>
      <c r="AI10" s="1"/>
      <c r="AJ10" s="1" t="n">
        <f aca="false">A10</f>
        <v>17.5</v>
      </c>
      <c r="AK10" s="2" t="n">
        <f aca="false">R10/R$27</f>
        <v>0.081778902</v>
      </c>
      <c r="AL10" s="2" t="n">
        <f aca="false">S10/S$27</f>
        <v>0.056624612</v>
      </c>
      <c r="AM10" s="2" t="n">
        <f aca="false">T10/T$27</f>
        <v>0.12139048</v>
      </c>
      <c r="AN10" s="2" t="n">
        <f aca="false">U10/U$27</f>
        <v>0.10939332</v>
      </c>
      <c r="AO10" s="2" t="n">
        <f aca="false">V10/V$27</f>
        <v>0.076263066</v>
      </c>
      <c r="AP10" s="2" t="n">
        <f aca="false">W10/W$27</f>
        <v>0.09856014</v>
      </c>
      <c r="AQ10" s="2" t="n">
        <f aca="false">X10/X$27</f>
        <v>0.021046629</v>
      </c>
      <c r="AR10" s="2" t="n">
        <f aca="false">Y10/Y$27</f>
        <v>0.068343254</v>
      </c>
      <c r="AS10" s="2" t="n">
        <f aca="false">Z10/Z$27</f>
        <v>0.088685761</v>
      </c>
      <c r="AT10" s="2" t="n">
        <f aca="false">AA10/AA$27</f>
        <v>0.13829541</v>
      </c>
      <c r="AU10" s="2" t="n">
        <f aca="false">AB10/AB$27</f>
        <v>0.099257126</v>
      </c>
      <c r="AV10" s="2" t="n">
        <f aca="false">AC10/AC$27</f>
        <v>0.10663726</v>
      </c>
      <c r="AW10" s="2" t="n">
        <f aca="false">AD10/AD$27</f>
        <v>0.10153415</v>
      </c>
      <c r="AX10" s="2" t="n">
        <f aca="false">AE10/AE$27</f>
        <v>0.11121712</v>
      </c>
      <c r="AY10" s="2" t="n">
        <f aca="false">AF10/AF$27</f>
        <v>0.098524673</v>
      </c>
      <c r="AZ10" s="2" t="n">
        <f aca="false">AG10/AG$27</f>
        <v>0.11360166</v>
      </c>
      <c r="BA10" s="1"/>
      <c r="BB10" s="2" t="n">
        <f aca="false">AK10+BB9</f>
        <v>0.13576246</v>
      </c>
      <c r="BC10" s="2" t="n">
        <f aca="false">AL10+BC9</f>
        <v>0.20937938</v>
      </c>
      <c r="BD10" s="2" t="n">
        <f aca="false">AM10+BD9</f>
        <v>0.45917108</v>
      </c>
      <c r="BE10" s="2" t="n">
        <f aca="false">AN10+BE9</f>
        <v>0.40077417</v>
      </c>
      <c r="BF10" s="2" t="n">
        <f aca="false">AO10+BF9</f>
        <v>0.32312659</v>
      </c>
      <c r="BG10" s="2" t="n">
        <f aca="false">AP10+BG9</f>
        <v>0.39507218</v>
      </c>
      <c r="BH10" s="2" t="n">
        <f aca="false">AQ10+BH9</f>
        <v>0.065783676</v>
      </c>
      <c r="BI10" s="2" t="n">
        <f aca="false">AR10+BI9</f>
        <v>0.32439246</v>
      </c>
      <c r="BJ10" s="2" t="n">
        <f aca="false">AS10+BJ9</f>
        <v>0.78597893</v>
      </c>
      <c r="BK10" s="2" t="n">
        <f aca="false">AT10+BK9</f>
        <v>0.27979176</v>
      </c>
      <c r="BL10" s="2" t="n">
        <f aca="false">AU10+BL9</f>
        <v>0.38740419</v>
      </c>
      <c r="BM10" s="2" t="n">
        <f aca="false">AV10+BM9</f>
        <v>0.26851488</v>
      </c>
      <c r="BN10" s="2" t="n">
        <f aca="false">AW10+BN9</f>
        <v>0.25304136</v>
      </c>
      <c r="BO10" s="2" t="n">
        <f aca="false">AX10+BO9</f>
        <v>0.42505212</v>
      </c>
      <c r="BP10" s="1"/>
      <c r="BQ10" s="1" t="n">
        <v>17.5</v>
      </c>
      <c r="BR10" s="2" t="n">
        <f aca="false">AX10</f>
        <v>0.11121712</v>
      </c>
      <c r="BS10" s="1" t="n">
        <f aca="false">LN(BR10)</f>
        <v>-2.1962709</v>
      </c>
      <c r="BT10" s="1" t="n">
        <f aca="false">BU10*BU10</f>
        <v>306.25</v>
      </c>
      <c r="BU10" s="1" t="n">
        <f aca="false">BQ10</f>
        <v>17.5</v>
      </c>
      <c r="BV10" s="2" t="n">
        <f aca="false">SQRT(BQ10)</f>
        <v>4.1833001</v>
      </c>
      <c r="BW10" s="2" t="n">
        <f aca="false">EXP(+$CB$2+$CA$8*BU10+$CB$8*BV10)</f>
        <v>0.11465878</v>
      </c>
      <c r="BX10" s="2" t="n">
        <f aca="false">(BW10/$BW$26)</f>
        <v>0.12008154</v>
      </c>
      <c r="BY10" s="1" t="s">
        <v>44</v>
      </c>
      <c r="BZ10" s="1"/>
      <c r="CA10" s="1" t="n">
        <f aca="false">CA8/CA9</f>
        <v>-5.6708146</v>
      </c>
      <c r="CB10" s="1" t="n">
        <f aca="false">CB8/CB9</f>
        <v>3.5694164</v>
      </c>
      <c r="CC10" s="1"/>
      <c r="CD10" s="1"/>
      <c r="CE10" s="1"/>
      <c r="CF10" s="1" t="n">
        <v>25</v>
      </c>
      <c r="CG10" s="1" t="n">
        <v>30</v>
      </c>
      <c r="CH10" s="1" t="n">
        <v>91347.71</v>
      </c>
      <c r="CI10" s="1" t="n">
        <v>0.1121</v>
      </c>
      <c r="CJ10" s="1" t="n">
        <v>503921.2</v>
      </c>
      <c r="CK10" s="1" t="n">
        <v>0.6183</v>
      </c>
      <c r="CL10" s="1"/>
      <c r="CM10" s="1"/>
      <c r="CN10" s="2" t="n">
        <v>0.14219401</v>
      </c>
      <c r="CP10" s="1" t="s">
        <v>41</v>
      </c>
      <c r="CS10" s="1" t="n">
        <v>16</v>
      </c>
      <c r="CW10" s="1" t="n">
        <v>30</v>
      </c>
      <c r="CX10" s="1" t="n">
        <v>35</v>
      </c>
      <c r="CY10" s="1" t="n">
        <v>74472.39</v>
      </c>
      <c r="CZ10" s="1" t="n">
        <v>0.0808</v>
      </c>
      <c r="DA10" s="1" t="n">
        <v>701345.6</v>
      </c>
      <c r="DB10" s="1" t="n">
        <v>0.7612</v>
      </c>
      <c r="DD10" s="1" t="n">
        <v>30</v>
      </c>
      <c r="DE10" s="1" t="n">
        <v>35</v>
      </c>
      <c r="DF10" s="1" t="n">
        <v>15909.61</v>
      </c>
      <c r="DG10" s="1" t="n">
        <v>0.0987</v>
      </c>
      <c r="DH10" s="1" t="n">
        <v>79817.67</v>
      </c>
      <c r="DI10" s="1" t="n">
        <v>0.4952</v>
      </c>
      <c r="DJ10" s="1" t="n">
        <f aca="false">DF10/$DF$23</f>
        <v>0.10548518</v>
      </c>
      <c r="DK10" s="1" t="n">
        <f aca="false">DI10/SUM($DG$4:$DG$20)</f>
        <v>0.54013962</v>
      </c>
    </row>
    <row r="11" customFormat="false" ht="16" hidden="false" customHeight="true" outlineLevel="0" collapsed="false">
      <c r="A11" s="1" t="n">
        <v>22.5</v>
      </c>
      <c r="B11" s="1" t="n">
        <v>1290</v>
      </c>
      <c r="C11" s="1" t="n">
        <v>1253</v>
      </c>
      <c r="D11" s="1" t="n">
        <v>152823</v>
      </c>
      <c r="E11" s="1" t="n">
        <v>14493</v>
      </c>
      <c r="F11" s="1" t="n">
        <v>3903</v>
      </c>
      <c r="G11" s="1" t="n">
        <v>20575</v>
      </c>
      <c r="H11" s="1" t="n">
        <v>3694</v>
      </c>
      <c r="I11" s="1" t="n">
        <v>15184</v>
      </c>
      <c r="J11" s="1" t="n">
        <v>6658</v>
      </c>
      <c r="K11" s="1" t="n">
        <v>26928</v>
      </c>
      <c r="L11" s="1" t="n">
        <f aca="false">E11+F11+G11</f>
        <v>38971</v>
      </c>
      <c r="M11" s="1" t="n">
        <f aca="false">K11+I11+H11</f>
        <v>45806</v>
      </c>
      <c r="N11" s="1" t="n">
        <f aca="false">M11+B11+C11</f>
        <v>48349</v>
      </c>
      <c r="O11" s="1" t="n">
        <f aca="false">SUM(B11:L11)</f>
        <v>285772</v>
      </c>
      <c r="P11" s="1"/>
      <c r="Q11" s="1" t="n">
        <v>9</v>
      </c>
      <c r="R11" s="3" t="n">
        <f aca="false">B11</f>
        <v>1290</v>
      </c>
      <c r="S11" s="3" t="n">
        <f aca="false">C11</f>
        <v>1253</v>
      </c>
      <c r="T11" s="3" t="n">
        <f aca="false">D11</f>
        <v>152823</v>
      </c>
      <c r="U11" s="3" t="n">
        <f aca="false">E11</f>
        <v>14493</v>
      </c>
      <c r="V11" s="3" t="n">
        <f aca="false">F11</f>
        <v>3903</v>
      </c>
      <c r="W11" s="3" t="n">
        <f aca="false">G11</f>
        <v>20575</v>
      </c>
      <c r="X11" s="3" t="n">
        <f aca="false">H11</f>
        <v>3694</v>
      </c>
      <c r="Y11" s="3" t="n">
        <f aca="false">I11</f>
        <v>15184</v>
      </c>
      <c r="Z11" s="3" t="n">
        <f aca="false">J11</f>
        <v>6658</v>
      </c>
      <c r="AA11" s="3" t="n">
        <f aca="false">K11</f>
        <v>26928</v>
      </c>
      <c r="AB11" s="3" t="n">
        <f aca="false">L11</f>
        <v>38971</v>
      </c>
      <c r="AC11" s="3" t="n">
        <f aca="false">M11</f>
        <v>45806</v>
      </c>
      <c r="AD11" s="3" t="n">
        <f aca="false">N11</f>
        <v>48349</v>
      </c>
      <c r="AE11" s="3" t="n">
        <f aca="false">O11</f>
        <v>285772</v>
      </c>
      <c r="AF11" s="1" t="n">
        <f aca="false">AD11+Z11</f>
        <v>55007</v>
      </c>
      <c r="AG11" s="1" t="n">
        <f aca="false">AE11-AF11</f>
        <v>230765</v>
      </c>
      <c r="AH11" s="1"/>
      <c r="AI11" s="1"/>
      <c r="AJ11" s="1" t="n">
        <f aca="false">A11</f>
        <v>22.5</v>
      </c>
      <c r="AK11" s="2" t="n">
        <f aca="false">R11/R$27</f>
        <v>0.033986721</v>
      </c>
      <c r="AL11" s="2" t="n">
        <f aca="false">S11/S$27</f>
        <v>0.053226286</v>
      </c>
      <c r="AM11" s="2" t="n">
        <f aca="false">T11/T$27</f>
        <v>0.081625797</v>
      </c>
      <c r="AN11" s="2" t="n">
        <f aca="false">U11/U$27</f>
        <v>0.084108082</v>
      </c>
      <c r="AO11" s="2" t="n">
        <f aca="false">V11/V$27</f>
        <v>0.057540063</v>
      </c>
      <c r="AP11" s="2" t="n">
        <f aca="false">W11/W$27</f>
        <v>0.076729156</v>
      </c>
      <c r="AQ11" s="2" t="n">
        <f aca="false">X11/X$27</f>
        <v>0.095746611</v>
      </c>
      <c r="AR11" s="2" t="n">
        <f aca="false">Y11/Y$27</f>
        <v>0.15884341</v>
      </c>
      <c r="AS11" s="2" t="n">
        <f aca="false">Z11/Z$27</f>
        <v>0.052374472</v>
      </c>
      <c r="AT11" s="2" t="n">
        <f aca="false">AA11/AA$27</f>
        <v>0.12243617</v>
      </c>
      <c r="AU11" s="2" t="n">
        <f aca="false">AB11/AB$27</f>
        <v>0.076669893</v>
      </c>
      <c r="AV11" s="2" t="n">
        <f aca="false">AC11/AC$27</f>
        <v>0.12935638</v>
      </c>
      <c r="AW11" s="2" t="n">
        <f aca="false">AD11/AD$27</f>
        <v>0.1163343</v>
      </c>
      <c r="AX11" s="2" t="n">
        <f aca="false">AE11/AE$27</f>
        <v>0.083277625</v>
      </c>
      <c r="AY11" s="2" t="n">
        <f aca="false">AF11/AF$27</f>
        <v>0.10135298</v>
      </c>
      <c r="AZ11" s="2" t="n">
        <f aca="false">AG11/AG$27</f>
        <v>0.079881793</v>
      </c>
      <c r="BA11" s="1"/>
      <c r="BB11" s="2" t="n">
        <f aca="false">AK11+BB10</f>
        <v>0.16974918</v>
      </c>
      <c r="BC11" s="2" t="n">
        <f aca="false">AL11+BC10</f>
        <v>0.26260567</v>
      </c>
      <c r="BD11" s="2" t="n">
        <f aca="false">AM11+BD10</f>
        <v>0.54079687</v>
      </c>
      <c r="BE11" s="2" t="n">
        <f aca="false">AN11+BE10</f>
        <v>0.48488225</v>
      </c>
      <c r="BF11" s="2" t="n">
        <f aca="false">AO11+BF10</f>
        <v>0.38066666</v>
      </c>
      <c r="BG11" s="2" t="n">
        <f aca="false">AP11+BG10</f>
        <v>0.47180134</v>
      </c>
      <c r="BH11" s="2" t="n">
        <f aca="false">AQ11+BH10</f>
        <v>0.16153029</v>
      </c>
      <c r="BI11" s="2" t="n">
        <f aca="false">AR11+BI10</f>
        <v>0.48323587</v>
      </c>
      <c r="BJ11" s="2" t="n">
        <f aca="false">AS11+BJ10</f>
        <v>0.83835341</v>
      </c>
      <c r="BK11" s="2" t="n">
        <f aca="false">AT11+BK10</f>
        <v>0.40222793</v>
      </c>
      <c r="BL11" s="2" t="n">
        <f aca="false">AU11+BL10</f>
        <v>0.46407408</v>
      </c>
      <c r="BM11" s="2" t="n">
        <f aca="false">AV11+BM10</f>
        <v>0.39787126</v>
      </c>
      <c r="BN11" s="2" t="n">
        <f aca="false">AW11+BN10</f>
        <v>0.36937566</v>
      </c>
      <c r="BO11" s="2" t="n">
        <f aca="false">AX11+BO10</f>
        <v>0.50832974</v>
      </c>
      <c r="BP11" s="1"/>
      <c r="BQ11" s="1" t="n">
        <v>22.5</v>
      </c>
      <c r="BR11" s="2" t="n">
        <f aca="false">AX11</f>
        <v>0.083277625</v>
      </c>
      <c r="BS11" s="1" t="n">
        <f aca="false">LN(BR11)</f>
        <v>-2.4855754</v>
      </c>
      <c r="BT11" s="1" t="n">
        <f aca="false">BU11*BU11</f>
        <v>506.25</v>
      </c>
      <c r="BU11" s="1" t="n">
        <f aca="false">BQ11</f>
        <v>22.5</v>
      </c>
      <c r="BV11" s="2" t="n">
        <f aca="false">SQRT(BQ11)</f>
        <v>4.7434165</v>
      </c>
      <c r="BW11" s="2" t="n">
        <f aca="false">EXP(+$CB$2+$CA$8*BU11+$CB$8*BV11)</f>
        <v>0.10464756</v>
      </c>
      <c r="BX11" s="2" t="n">
        <f aca="false">(BW11/$BW$26)</f>
        <v>0.10959684</v>
      </c>
      <c r="BY11" s="1"/>
      <c r="BZ11" s="1"/>
      <c r="CA11" s="1"/>
      <c r="CB11" s="1"/>
      <c r="CC11" s="1"/>
      <c r="CD11" s="1"/>
      <c r="CE11" s="1"/>
      <c r="CF11" s="1" t="n">
        <v>30</v>
      </c>
      <c r="CG11" s="1" t="n">
        <v>35</v>
      </c>
      <c r="CH11" s="1" t="n">
        <v>79071.19</v>
      </c>
      <c r="CI11" s="1" t="n">
        <v>0.097</v>
      </c>
      <c r="CJ11" s="1" t="n">
        <v>582992.4</v>
      </c>
      <c r="CK11" s="1" t="n">
        <v>0.7153</v>
      </c>
      <c r="CL11" s="1"/>
      <c r="CM11" s="1"/>
      <c r="CN11" s="2" t="n">
        <v>0.063218223</v>
      </c>
      <c r="CW11" s="1" t="n">
        <v>35</v>
      </c>
      <c r="CX11" s="1" t="n">
        <v>40</v>
      </c>
      <c r="CY11" s="1" t="n">
        <v>61356.41</v>
      </c>
      <c r="CZ11" s="1" t="n">
        <v>0.0666</v>
      </c>
      <c r="DA11" s="1" t="n">
        <v>762702</v>
      </c>
      <c r="DB11" s="1" t="n">
        <v>0.8278</v>
      </c>
      <c r="DD11" s="1" t="n">
        <v>35</v>
      </c>
      <c r="DE11" s="1" t="n">
        <v>40</v>
      </c>
      <c r="DF11" s="1" t="n">
        <v>14143.77</v>
      </c>
      <c r="DG11" s="1" t="n">
        <v>0.0878</v>
      </c>
      <c r="DH11" s="1" t="n">
        <v>93961.45</v>
      </c>
      <c r="DI11" s="1" t="n">
        <v>0.583</v>
      </c>
      <c r="DJ11" s="1" t="n">
        <f aca="false">DF11/$DF$23</f>
        <v>0.093777167</v>
      </c>
      <c r="DK11" s="1" t="n">
        <f aca="false">DI11/SUM($DG$4:$DG$20)</f>
        <v>0.6359075</v>
      </c>
    </row>
    <row r="12" customFormat="false" ht="16" hidden="false" customHeight="true" outlineLevel="0" collapsed="false">
      <c r="A12" s="1" t="n">
        <v>27.5</v>
      </c>
      <c r="B12" s="1" t="n">
        <v>4874</v>
      </c>
      <c r="C12" s="1" t="n">
        <v>3413</v>
      </c>
      <c r="D12" s="1" t="n">
        <v>287686</v>
      </c>
      <c r="E12" s="1" t="n">
        <v>28543</v>
      </c>
      <c r="F12" s="1" t="n">
        <v>9960</v>
      </c>
      <c r="G12" s="1" t="n">
        <v>34361</v>
      </c>
      <c r="H12" s="1" t="n">
        <v>3097</v>
      </c>
      <c r="I12" s="1" t="n">
        <v>5978</v>
      </c>
      <c r="J12" s="1" t="n">
        <v>11511</v>
      </c>
      <c r="K12" s="1" t="n">
        <v>25660</v>
      </c>
      <c r="L12" s="1" t="n">
        <f aca="false">E12+F12+G12</f>
        <v>72864</v>
      </c>
      <c r="M12" s="1" t="n">
        <f aca="false">K12+I12+H12</f>
        <v>34735</v>
      </c>
      <c r="N12" s="1" t="n">
        <f aca="false">M12+B12+C12</f>
        <v>43022</v>
      </c>
      <c r="O12" s="1" t="n">
        <f aca="false">SUM(B12:L12)</f>
        <v>487947</v>
      </c>
      <c r="P12" s="1"/>
      <c r="Q12" s="1" t="n">
        <v>11</v>
      </c>
      <c r="R12" s="3" t="n">
        <f aca="false">B12</f>
        <v>4874</v>
      </c>
      <c r="S12" s="3" t="n">
        <f aca="false">C12</f>
        <v>3413</v>
      </c>
      <c r="T12" s="3" t="n">
        <f aca="false">D12</f>
        <v>287686</v>
      </c>
      <c r="U12" s="3" t="n">
        <f aca="false">E12</f>
        <v>28543</v>
      </c>
      <c r="V12" s="3" t="n">
        <f aca="false">F12</f>
        <v>9960</v>
      </c>
      <c r="W12" s="3" t="n">
        <f aca="false">G12</f>
        <v>34361</v>
      </c>
      <c r="X12" s="3" t="n">
        <f aca="false">H12</f>
        <v>3097</v>
      </c>
      <c r="Y12" s="3" t="n">
        <f aca="false">I12</f>
        <v>5978</v>
      </c>
      <c r="Z12" s="3" t="n">
        <f aca="false">J12</f>
        <v>11511</v>
      </c>
      <c r="AA12" s="3" t="n">
        <f aca="false">K12</f>
        <v>25660</v>
      </c>
      <c r="AB12" s="3" t="n">
        <f aca="false">L12</f>
        <v>72864</v>
      </c>
      <c r="AC12" s="3" t="n">
        <f aca="false">M12</f>
        <v>34735</v>
      </c>
      <c r="AD12" s="3" t="n">
        <f aca="false">N12</f>
        <v>43022</v>
      </c>
      <c r="AE12" s="3" t="n">
        <f aca="false">O12</f>
        <v>487947</v>
      </c>
      <c r="AF12" s="1" t="n">
        <f aca="false">AD12+Z12</f>
        <v>54533</v>
      </c>
      <c r="AG12" s="1" t="n">
        <f aca="false">AE12-AF12</f>
        <v>433414</v>
      </c>
      <c r="AH12" s="1"/>
      <c r="AI12" s="1"/>
      <c r="AJ12" s="1" t="n">
        <f aca="false">A12</f>
        <v>27.5</v>
      </c>
      <c r="AK12" s="2" t="n">
        <f aca="false">R12/R$27</f>
        <v>0.12841185</v>
      </c>
      <c r="AL12" s="2" t="n">
        <f aca="false">S12/S$27</f>
        <v>0.1449811</v>
      </c>
      <c r="AM12" s="2" t="n">
        <f aca="false">T12/T$27</f>
        <v>0.1536588</v>
      </c>
      <c r="AN12" s="2" t="n">
        <f aca="false">U12/U$27</f>
        <v>0.16564528</v>
      </c>
      <c r="AO12" s="2" t="n">
        <f aca="false">V12/V$27</f>
        <v>0.14683552</v>
      </c>
      <c r="AP12" s="2" t="n">
        <f aca="false">W12/W$27</f>
        <v>0.12814049</v>
      </c>
      <c r="AQ12" s="2" t="n">
        <f aca="false">X12/X$27</f>
        <v>0.080272673</v>
      </c>
      <c r="AR12" s="2" t="n">
        <f aca="false">Y12/Y$27</f>
        <v>0.062537268</v>
      </c>
      <c r="AS12" s="2" t="n">
        <f aca="false">Z12/Z$27</f>
        <v>0.090550097</v>
      </c>
      <c r="AT12" s="2" t="n">
        <f aca="false">AA12/AA$27</f>
        <v>0.11667083</v>
      </c>
      <c r="AU12" s="2" t="n">
        <f aca="false">AB12/AB$27</f>
        <v>0.14334954</v>
      </c>
      <c r="AV12" s="2" t="n">
        <f aca="false">AC12/AC$27</f>
        <v>0.09809182</v>
      </c>
      <c r="AW12" s="2" t="n">
        <f aca="false">AD12/AD$27</f>
        <v>0.10351681</v>
      </c>
      <c r="AX12" s="2" t="n">
        <f aca="false">AE12/AE$27</f>
        <v>0.14219401</v>
      </c>
      <c r="AY12" s="2" t="n">
        <f aca="false">AF12/AF$27</f>
        <v>0.10047961</v>
      </c>
      <c r="AZ12" s="2" t="n">
        <f aca="false">AG12/AG$27</f>
        <v>0.15003093</v>
      </c>
      <c r="BA12" s="1"/>
      <c r="BB12" s="2" t="n">
        <f aca="false">AK12+BB11</f>
        <v>0.29816103</v>
      </c>
      <c r="BC12" s="2" t="n">
        <f aca="false">AL12+BC11</f>
        <v>0.40758676</v>
      </c>
      <c r="BD12" s="2" t="n">
        <f aca="false">AM12+BD11</f>
        <v>0.69445568</v>
      </c>
      <c r="BE12" s="2" t="n">
        <f aca="false">AN12+BE11</f>
        <v>0.65052753</v>
      </c>
      <c r="BF12" s="2" t="n">
        <f aca="false">AO12+BF11</f>
        <v>0.52750217</v>
      </c>
      <c r="BG12" s="2" t="n">
        <f aca="false">AP12+BG11</f>
        <v>0.59994182</v>
      </c>
      <c r="BH12" s="2" t="n">
        <f aca="false">AQ12+BH11</f>
        <v>0.24180296</v>
      </c>
      <c r="BI12" s="2" t="n">
        <f aca="false">AR12+BI11</f>
        <v>0.54577314</v>
      </c>
      <c r="BJ12" s="2" t="n">
        <f aca="false">AS12+BJ11</f>
        <v>0.9289035</v>
      </c>
      <c r="BK12" s="2" t="n">
        <f aca="false">AT12+BK11</f>
        <v>0.51889877</v>
      </c>
      <c r="BL12" s="2" t="n">
        <f aca="false">AU12+BL11</f>
        <v>0.60742363</v>
      </c>
      <c r="BM12" s="2" t="n">
        <f aca="false">AV12+BM11</f>
        <v>0.49596308</v>
      </c>
      <c r="BN12" s="2" t="n">
        <f aca="false">AW12+BN11</f>
        <v>0.47289246</v>
      </c>
      <c r="BO12" s="2" t="n">
        <f aca="false">AX12+BO11</f>
        <v>0.65052376</v>
      </c>
      <c r="BP12" s="1"/>
      <c r="BQ12" s="1" t="n">
        <v>27.5</v>
      </c>
      <c r="BR12" s="2" t="n">
        <f aca="false">AX12</f>
        <v>0.14219401</v>
      </c>
      <c r="BS12" s="1" t="n">
        <f aca="false">LN(BR12)</f>
        <v>-1.9505629</v>
      </c>
      <c r="BT12" s="1" t="n">
        <f aca="false">BU12*BU12</f>
        <v>756.25</v>
      </c>
      <c r="BU12" s="1" t="n">
        <f aca="false">BQ12</f>
        <v>27.5</v>
      </c>
      <c r="BV12" s="2" t="n">
        <f aca="false">SQRT(BQ12)</f>
        <v>5.2440442</v>
      </c>
      <c r="BW12" s="2" t="n">
        <f aca="false">EXP(+$CB$2+$CA$8*BU12+$CB$8*BV12)</f>
        <v>0.091231111</v>
      </c>
      <c r="BX12" s="2" t="n">
        <f aca="false">(BW12/$BW$26)</f>
        <v>0.095545864</v>
      </c>
      <c r="BY12" s="1"/>
      <c r="BZ12" s="1"/>
      <c r="CA12" s="1"/>
      <c r="CB12" s="1"/>
      <c r="CC12" s="1"/>
      <c r="CD12" s="1"/>
      <c r="CE12" s="1"/>
      <c r="CF12" s="1" t="n">
        <v>35</v>
      </c>
      <c r="CG12" s="1" t="n">
        <v>40</v>
      </c>
      <c r="CH12" s="1" t="n">
        <v>59240.69</v>
      </c>
      <c r="CI12" s="1" t="n">
        <v>0.0727</v>
      </c>
      <c r="CJ12" s="1" t="n">
        <v>642233.1</v>
      </c>
      <c r="CK12" s="1" t="n">
        <v>0.788</v>
      </c>
      <c r="CL12" s="1"/>
      <c r="CM12" s="1"/>
      <c r="CN12" s="2" t="n">
        <v>0.061758537</v>
      </c>
      <c r="CP12" s="1" t="s">
        <v>42</v>
      </c>
      <c r="CR12" s="1" t="n">
        <v>0.93125024</v>
      </c>
      <c r="CW12" s="1" t="n">
        <v>40</v>
      </c>
      <c r="CX12" s="1" t="n">
        <v>45</v>
      </c>
      <c r="CY12" s="1" t="n">
        <v>44350.25</v>
      </c>
      <c r="CZ12" s="1" t="n">
        <v>0.0481</v>
      </c>
      <c r="DA12" s="1" t="n">
        <v>807052.3</v>
      </c>
      <c r="DB12" s="1" t="n">
        <v>0.8759</v>
      </c>
      <c r="DD12" s="1" t="n">
        <v>40</v>
      </c>
      <c r="DE12" s="1" t="n">
        <v>45</v>
      </c>
      <c r="DF12" s="1" t="n">
        <v>12215.24</v>
      </c>
      <c r="DG12" s="1" t="n">
        <v>0.0758</v>
      </c>
      <c r="DH12" s="1" t="n">
        <v>106176.7</v>
      </c>
      <c r="DI12" s="1" t="n">
        <v>0.6587</v>
      </c>
      <c r="DJ12" s="1" t="n">
        <f aca="false">DF12/$DF$23</f>
        <v>0.080990471</v>
      </c>
      <c r="DK12" s="1" t="n">
        <f aca="false">DI12/SUM($DG$4:$DG$20)</f>
        <v>0.71847731</v>
      </c>
    </row>
    <row r="13" customFormat="false" ht="16" hidden="false" customHeight="true" outlineLevel="0" collapsed="false">
      <c r="A13" s="1" t="n">
        <v>32.5</v>
      </c>
      <c r="B13" s="1" t="n">
        <v>3673</v>
      </c>
      <c r="C13" s="1" t="n">
        <v>2972</v>
      </c>
      <c r="D13" s="1" t="n">
        <v>107976</v>
      </c>
      <c r="E13" s="1" t="n">
        <v>10478</v>
      </c>
      <c r="F13" s="1" t="n">
        <v>4806</v>
      </c>
      <c r="G13" s="1" t="n">
        <v>19408</v>
      </c>
      <c r="H13" s="1" t="n">
        <v>4458</v>
      </c>
      <c r="I13" s="1" t="n">
        <v>6036</v>
      </c>
      <c r="J13" s="1" t="n">
        <v>2321</v>
      </c>
      <c r="K13" s="1" t="n">
        <v>20117</v>
      </c>
      <c r="L13" s="1" t="n">
        <f aca="false">E13+F13+G13</f>
        <v>34692</v>
      </c>
      <c r="M13" s="1" t="n">
        <f aca="false">K13+I13+H13</f>
        <v>30611</v>
      </c>
      <c r="N13" s="1" t="n">
        <f aca="false">M13+B13+C13</f>
        <v>37256</v>
      </c>
      <c r="O13" s="1" t="n">
        <f aca="false">SUM(B13:L13)</f>
        <v>216937</v>
      </c>
      <c r="P13" s="1"/>
      <c r="Q13" s="1" t="n">
        <v>13</v>
      </c>
      <c r="R13" s="3" t="n">
        <f aca="false">B13</f>
        <v>3673</v>
      </c>
      <c r="S13" s="3" t="n">
        <f aca="false">C13</f>
        <v>2972</v>
      </c>
      <c r="T13" s="3" t="n">
        <f aca="false">D13</f>
        <v>107976</v>
      </c>
      <c r="U13" s="3" t="n">
        <f aca="false">E13</f>
        <v>10478</v>
      </c>
      <c r="V13" s="3" t="n">
        <f aca="false">F13</f>
        <v>4806</v>
      </c>
      <c r="W13" s="3" t="n">
        <f aca="false">G13</f>
        <v>19408</v>
      </c>
      <c r="X13" s="3" t="n">
        <f aca="false">H13</f>
        <v>4458</v>
      </c>
      <c r="Y13" s="3" t="n">
        <f aca="false">I13</f>
        <v>6036</v>
      </c>
      <c r="Z13" s="3" t="n">
        <f aca="false">J13</f>
        <v>2321</v>
      </c>
      <c r="AA13" s="3" t="n">
        <f aca="false">K13</f>
        <v>20117</v>
      </c>
      <c r="AB13" s="3" t="n">
        <f aca="false">L13</f>
        <v>34692</v>
      </c>
      <c r="AC13" s="3" t="n">
        <f aca="false">M13</f>
        <v>30611</v>
      </c>
      <c r="AD13" s="3" t="n">
        <f aca="false">N13</f>
        <v>37256</v>
      </c>
      <c r="AE13" s="3" t="n">
        <f aca="false">O13</f>
        <v>216937</v>
      </c>
      <c r="AF13" s="1" t="n">
        <f aca="false">AD13+Z13</f>
        <v>39577</v>
      </c>
      <c r="AG13" s="1" t="n">
        <f aca="false">AE13-AF13</f>
        <v>177360</v>
      </c>
      <c r="AH13" s="1"/>
      <c r="AI13" s="1"/>
      <c r="AJ13" s="1" t="n">
        <f aca="false">A13</f>
        <v>32.5</v>
      </c>
      <c r="AK13" s="2" t="n">
        <f aca="false">R13/R$27</f>
        <v>0.096769944</v>
      </c>
      <c r="AL13" s="2" t="n">
        <f aca="false">S13/S$27</f>
        <v>0.12624782</v>
      </c>
      <c r="AM13" s="2" t="n">
        <f aca="false">T13/T$27</f>
        <v>0.057672124</v>
      </c>
      <c r="AN13" s="2" t="n">
        <f aca="false">U13/U$27</f>
        <v>0.060807595</v>
      </c>
      <c r="AO13" s="2" t="n">
        <f aca="false">V13/V$27</f>
        <v>0.07085256</v>
      </c>
      <c r="AP13" s="2" t="n">
        <f aca="false">W13/W$27</f>
        <v>0.072377131</v>
      </c>
      <c r="AQ13" s="2" t="n">
        <f aca="false">X13/X$27</f>
        <v>0.1155491</v>
      </c>
      <c r="AR13" s="2" t="n">
        <f aca="false">Y13/Y$27</f>
        <v>0.06314402</v>
      </c>
      <c r="AS13" s="2" t="n">
        <f aca="false">Z13/Z$27</f>
        <v>0.018257908</v>
      </c>
      <c r="AT13" s="2" t="n">
        <f aca="false">AA13/AA$27</f>
        <v>0.091467934</v>
      </c>
      <c r="AU13" s="2" t="n">
        <f aca="false">AB13/AB$27</f>
        <v>0.06825157</v>
      </c>
      <c r="AV13" s="2" t="n">
        <f aca="false">AC13/AC$27</f>
        <v>0.086445622</v>
      </c>
      <c r="AW13" s="2" t="n">
        <f aca="false">AD13/AD$27</f>
        <v>0.089643026</v>
      </c>
      <c r="AX13" s="2" t="n">
        <f aca="false">AE13/AE$27</f>
        <v>0.063218223</v>
      </c>
      <c r="AY13" s="2" t="n">
        <f aca="false">AF13/AF$27</f>
        <v>0.072922482</v>
      </c>
      <c r="AZ13" s="2" t="n">
        <f aca="false">AG13/AG$27</f>
        <v>0.061395076</v>
      </c>
      <c r="BA13" s="1"/>
      <c r="BB13" s="2" t="n">
        <f aca="false">AK13+BB12</f>
        <v>0.39493097</v>
      </c>
      <c r="BC13" s="2" t="n">
        <f aca="false">AL13+BC12</f>
        <v>0.53383459</v>
      </c>
      <c r="BD13" s="2" t="n">
        <f aca="false">AM13+BD12</f>
        <v>0.7521278</v>
      </c>
      <c r="BE13" s="2" t="n">
        <f aca="false">AN13+BE12</f>
        <v>0.71133512</v>
      </c>
      <c r="BF13" s="2" t="n">
        <f aca="false">AO13+BF12</f>
        <v>0.59835473</v>
      </c>
      <c r="BG13" s="2" t="n">
        <f aca="false">AP13+BG12</f>
        <v>0.67231895</v>
      </c>
      <c r="BH13" s="2" t="n">
        <f aca="false">AQ13+BH12</f>
        <v>0.35735206</v>
      </c>
      <c r="BI13" s="2" t="n">
        <f aca="false">AR13+BI12</f>
        <v>0.60891716</v>
      </c>
      <c r="BJ13" s="2" t="n">
        <f aca="false">AS13+BJ12</f>
        <v>0.94716141</v>
      </c>
      <c r="BK13" s="2" t="n">
        <f aca="false">AT13+BK12</f>
        <v>0.6103667</v>
      </c>
      <c r="BL13" s="2" t="n">
        <f aca="false">AU13+BL12</f>
        <v>0.6756752</v>
      </c>
      <c r="BM13" s="2" t="n">
        <f aca="false">AV13+BM12</f>
        <v>0.58240871</v>
      </c>
      <c r="BN13" s="2" t="n">
        <f aca="false">AW13+BN12</f>
        <v>0.56253549</v>
      </c>
      <c r="BO13" s="2" t="n">
        <f aca="false">AX13+BO12</f>
        <v>0.71374198</v>
      </c>
      <c r="BP13" s="1"/>
      <c r="BQ13" s="1" t="n">
        <v>32.5</v>
      </c>
      <c r="BR13" s="2" t="n">
        <f aca="false">AX13</f>
        <v>0.063218223</v>
      </c>
      <c r="BS13" s="1" t="n">
        <f aca="false">LN(BR13)</f>
        <v>-2.7611627</v>
      </c>
      <c r="BT13" s="1" t="n">
        <f aca="false">BU13*BU13</f>
        <v>1056.25</v>
      </c>
      <c r="BU13" s="1" t="n">
        <f aca="false">BQ13</f>
        <v>32.5</v>
      </c>
      <c r="BV13" s="2" t="n">
        <f aca="false">SQRT(BQ13)</f>
        <v>5.7008771</v>
      </c>
      <c r="BW13" s="2" t="n">
        <f aca="false">EXP(+$CB$2+$CA$8*BU13+$CB$8*BV13)</f>
        <v>0.076895474</v>
      </c>
      <c r="BX13" s="2" t="n">
        <f aca="false">(BW13/$BW$26)</f>
        <v>0.080532228</v>
      </c>
      <c r="BY13" s="1"/>
      <c r="BZ13" s="1"/>
      <c r="CA13" s="1"/>
      <c r="CB13" s="1"/>
      <c r="CC13" s="1"/>
      <c r="CD13" s="1"/>
      <c r="CE13" s="1"/>
      <c r="CF13" s="1" t="n">
        <v>40</v>
      </c>
      <c r="CG13" s="1" t="n">
        <v>45</v>
      </c>
      <c r="CH13" s="1" t="n">
        <v>45496.91</v>
      </c>
      <c r="CI13" s="1" t="n">
        <v>0.0558</v>
      </c>
      <c r="CJ13" s="1" t="n">
        <v>687730</v>
      </c>
      <c r="CK13" s="1" t="n">
        <v>0.8438</v>
      </c>
      <c r="CL13" s="1"/>
      <c r="CM13" s="1"/>
      <c r="CN13" s="2" t="n">
        <v>0.070718607</v>
      </c>
      <c r="CP13" s="1" t="s">
        <v>43</v>
      </c>
      <c r="CR13" s="1" t="n">
        <v>0.11859078</v>
      </c>
      <c r="CW13" s="1" t="n">
        <v>45</v>
      </c>
      <c r="CX13" s="1" t="n">
        <v>50</v>
      </c>
      <c r="CY13" s="1" t="n">
        <v>32546.87</v>
      </c>
      <c r="CZ13" s="1" t="n">
        <v>0.0353</v>
      </c>
      <c r="DA13" s="1" t="n">
        <v>839599.1</v>
      </c>
      <c r="DB13" s="1" t="n">
        <v>0.9113</v>
      </c>
      <c r="DD13" s="1" t="n">
        <v>45</v>
      </c>
      <c r="DE13" s="1" t="n">
        <v>50</v>
      </c>
      <c r="DF13" s="1" t="n">
        <v>10557.04</v>
      </c>
      <c r="DG13" s="1" t="n">
        <v>0.0655</v>
      </c>
      <c r="DH13" s="1" t="n">
        <v>116733.7</v>
      </c>
      <c r="DI13" s="1" t="n">
        <v>0.7242</v>
      </c>
      <c r="DJ13" s="1" t="n">
        <f aca="false">DF13/$DF$23</f>
        <v>0.06999614</v>
      </c>
      <c r="DK13" s="1" t="n">
        <f aca="false">DI13/SUM($DG$4:$DG$20)</f>
        <v>0.78992147</v>
      </c>
    </row>
    <row r="14" customFormat="false" ht="16" hidden="false" customHeight="true" outlineLevel="0" collapsed="false">
      <c r="A14" s="1" t="n">
        <v>37.5</v>
      </c>
      <c r="B14" s="1" t="n">
        <v>6791</v>
      </c>
      <c r="C14" s="1" t="n">
        <v>3547</v>
      </c>
      <c r="D14" s="1" t="n">
        <v>98384</v>
      </c>
      <c r="E14" s="1" t="n">
        <v>10480</v>
      </c>
      <c r="F14" s="1" t="n">
        <v>3769</v>
      </c>
      <c r="G14" s="1" t="n">
        <v>20993</v>
      </c>
      <c r="H14" s="1" t="n">
        <v>4522</v>
      </c>
      <c r="I14" s="1" t="n">
        <v>8355</v>
      </c>
      <c r="J14" s="1" t="n">
        <v>1099</v>
      </c>
      <c r="K14" s="1" t="n">
        <v>18746</v>
      </c>
      <c r="L14" s="1" t="n">
        <f aca="false">E14+F14+G14</f>
        <v>35242</v>
      </c>
      <c r="M14" s="1" t="n">
        <f aca="false">K14+I14+H14</f>
        <v>31623</v>
      </c>
      <c r="N14" s="1" t="n">
        <f aca="false">M14+B14+C14</f>
        <v>41961</v>
      </c>
      <c r="O14" s="1" t="n">
        <f aca="false">SUM(B14:L14)</f>
        <v>211928</v>
      </c>
      <c r="P14" s="1"/>
      <c r="Q14" s="1" t="n">
        <v>15</v>
      </c>
      <c r="R14" s="3" t="n">
        <f aca="false">B14</f>
        <v>6791</v>
      </c>
      <c r="S14" s="3" t="n">
        <f aca="false">C14</f>
        <v>3547</v>
      </c>
      <c r="T14" s="3" t="n">
        <f aca="false">D14</f>
        <v>98384</v>
      </c>
      <c r="U14" s="3" t="n">
        <f aca="false">E14</f>
        <v>10480</v>
      </c>
      <c r="V14" s="3" t="n">
        <f aca="false">F14</f>
        <v>3769</v>
      </c>
      <c r="W14" s="3" t="n">
        <f aca="false">G14</f>
        <v>20993</v>
      </c>
      <c r="X14" s="3" t="n">
        <f aca="false">H14</f>
        <v>4522</v>
      </c>
      <c r="Y14" s="3" t="n">
        <f aca="false">I14</f>
        <v>8355</v>
      </c>
      <c r="Z14" s="3" t="n">
        <f aca="false">J14</f>
        <v>1099</v>
      </c>
      <c r="AA14" s="3" t="n">
        <f aca="false">K14</f>
        <v>18746</v>
      </c>
      <c r="AB14" s="3" t="n">
        <f aca="false">L14</f>
        <v>35242</v>
      </c>
      <c r="AC14" s="3" t="n">
        <f aca="false">M14</f>
        <v>31623</v>
      </c>
      <c r="AD14" s="3" t="n">
        <f aca="false">N14</f>
        <v>41961</v>
      </c>
      <c r="AE14" s="3" t="n">
        <f aca="false">O14</f>
        <v>211928</v>
      </c>
      <c r="AF14" s="1" t="n">
        <f aca="false">AD14+Z14</f>
        <v>43060</v>
      </c>
      <c r="AG14" s="1" t="n">
        <f aca="false">AE14-AF14</f>
        <v>168868</v>
      </c>
      <c r="AH14" s="1"/>
      <c r="AI14" s="1"/>
      <c r="AJ14" s="1" t="n">
        <f aca="false">A14</f>
        <v>37.5</v>
      </c>
      <c r="AK14" s="2" t="n">
        <f aca="false">R14/R$27</f>
        <v>0.17891769</v>
      </c>
      <c r="AL14" s="2" t="n">
        <f aca="false">S14/S$27</f>
        <v>0.15067329</v>
      </c>
      <c r="AM14" s="2" t="n">
        <f aca="false">T14/T$27</f>
        <v>0.052548847</v>
      </c>
      <c r="AN14" s="2" t="n">
        <f aca="false">U14/U$27</f>
        <v>0.060819202</v>
      </c>
      <c r="AO14" s="2" t="n">
        <f aca="false">V14/V$27</f>
        <v>0.055564565</v>
      </c>
      <c r="AP14" s="2" t="n">
        <f aca="false">W14/W$27</f>
        <v>0.07828798</v>
      </c>
      <c r="AQ14" s="2" t="n">
        <f aca="false">X14/X$27</f>
        <v>0.11720795</v>
      </c>
      <c r="AR14" s="2" t="n">
        <f aca="false">Y14/Y$27</f>
        <v>0.087403626</v>
      </c>
      <c r="AS14" s="2" t="n">
        <f aca="false">Z14/Z$27</f>
        <v>0.0086451704</v>
      </c>
      <c r="AT14" s="2" t="n">
        <f aca="false">AA14/AA$27</f>
        <v>0.085234274</v>
      </c>
      <c r="AU14" s="2" t="n">
        <f aca="false">AB14/AB$27</f>
        <v>0.069333617</v>
      </c>
      <c r="AV14" s="2" t="n">
        <f aca="false">AC14/AC$27</f>
        <v>0.089303516</v>
      </c>
      <c r="AW14" s="2" t="n">
        <f aca="false">AD14/AD$27</f>
        <v>0.1009639</v>
      </c>
      <c r="AX14" s="2" t="n">
        <f aca="false">AE14/AE$27</f>
        <v>0.061758537</v>
      </c>
      <c r="AY14" s="2" t="n">
        <f aca="false">AF14/AF$27</f>
        <v>0.079340073</v>
      </c>
      <c r="AZ14" s="2" t="n">
        <f aca="false">AG14/AG$27</f>
        <v>0.058455479</v>
      </c>
      <c r="BA14" s="1"/>
      <c r="BB14" s="2" t="n">
        <f aca="false">AK14+BB13</f>
        <v>0.57384867</v>
      </c>
      <c r="BC14" s="2" t="n">
        <f aca="false">AL14+BC13</f>
        <v>0.68450788</v>
      </c>
      <c r="BD14" s="2" t="n">
        <f aca="false">AM14+BD13</f>
        <v>0.80467665</v>
      </c>
      <c r="BE14" s="2" t="n">
        <f aca="false">AN14+BE13</f>
        <v>0.77215432</v>
      </c>
      <c r="BF14" s="2" t="n">
        <f aca="false">AO14+BF13</f>
        <v>0.6539193</v>
      </c>
      <c r="BG14" s="2" t="n">
        <f aca="false">AP14+BG13</f>
        <v>0.75060693</v>
      </c>
      <c r="BH14" s="2" t="n">
        <f aca="false">AQ14+BH13</f>
        <v>0.47456002</v>
      </c>
      <c r="BI14" s="2" t="n">
        <f aca="false">AR14+BI13</f>
        <v>0.69632078</v>
      </c>
      <c r="BJ14" s="2" t="n">
        <f aca="false">AS14+BJ13</f>
        <v>0.95580658</v>
      </c>
      <c r="BK14" s="2" t="n">
        <f aca="false">AT14+BK13</f>
        <v>0.69560097</v>
      </c>
      <c r="BL14" s="2" t="n">
        <f aca="false">AU14+BL13</f>
        <v>0.74500881</v>
      </c>
      <c r="BM14" s="2" t="n">
        <f aca="false">AV14+BM13</f>
        <v>0.67171222</v>
      </c>
      <c r="BN14" s="2" t="n">
        <f aca="false">AW14+BN13</f>
        <v>0.66349939</v>
      </c>
      <c r="BO14" s="2" t="n">
        <f aca="false">AX14+BO13</f>
        <v>0.77550052</v>
      </c>
      <c r="BP14" s="1"/>
      <c r="BQ14" s="1" t="n">
        <v>37.5</v>
      </c>
      <c r="BR14" s="2" t="n">
        <f aca="false">AX14</f>
        <v>0.061758537</v>
      </c>
      <c r="BS14" s="1" t="n">
        <f aca="false">LN(BR14)</f>
        <v>-2.7845231</v>
      </c>
      <c r="BT14" s="1" t="n">
        <f aca="false">BU14*BU14</f>
        <v>1406.25</v>
      </c>
      <c r="BU14" s="1" t="n">
        <f aca="false">BQ14</f>
        <v>37.5</v>
      </c>
      <c r="BV14" s="2" t="n">
        <f aca="false">SQRT(BQ14)</f>
        <v>6.1237244</v>
      </c>
      <c r="BW14" s="2" t="n">
        <f aca="false">EXP(+$CB$2+$CA$8*BU14+$CB$8*BV14)</f>
        <v>0.063137189</v>
      </c>
      <c r="BX14" s="2" t="n">
        <f aca="false">(BW14/$BW$26)</f>
        <v>0.066123247</v>
      </c>
      <c r="BY14" s="1"/>
      <c r="BZ14" s="1"/>
      <c r="CA14" s="1"/>
      <c r="CB14" s="1"/>
      <c r="CC14" s="1"/>
      <c r="CD14" s="1"/>
      <c r="CE14" s="1"/>
      <c r="CF14" s="1" t="n">
        <v>45</v>
      </c>
      <c r="CG14" s="1" t="n">
        <v>50</v>
      </c>
      <c r="CH14" s="1" t="n">
        <v>36801.87</v>
      </c>
      <c r="CI14" s="1" t="n">
        <v>0.0452</v>
      </c>
      <c r="CJ14" s="1" t="n">
        <v>724531.9</v>
      </c>
      <c r="CK14" s="1" t="n">
        <v>0.8889</v>
      </c>
      <c r="CL14" s="1"/>
      <c r="CM14" s="1"/>
      <c r="CN14" s="2" t="n">
        <v>0.034541453</v>
      </c>
      <c r="CR14" s="1" t="n">
        <f aca="false">CR12/CR13</f>
        <v>7.8526361</v>
      </c>
      <c r="CW14" s="1" t="n">
        <v>50</v>
      </c>
      <c r="CX14" s="1" t="n">
        <v>55</v>
      </c>
      <c r="CY14" s="1" t="n">
        <v>24806.54</v>
      </c>
      <c r="CZ14" s="1" t="n">
        <v>0.0269</v>
      </c>
      <c r="DA14" s="1" t="n">
        <v>864405.7</v>
      </c>
      <c r="DB14" s="1" t="n">
        <v>0.9382</v>
      </c>
      <c r="DD14" s="1" t="n">
        <v>50</v>
      </c>
      <c r="DE14" s="1" t="n">
        <v>55</v>
      </c>
      <c r="DF14" s="1" t="n">
        <v>7346.276</v>
      </c>
      <c r="DG14" s="1" t="n">
        <v>0.0456</v>
      </c>
      <c r="DH14" s="1" t="n">
        <v>124080</v>
      </c>
      <c r="DI14" s="1" t="n">
        <v>0.7698</v>
      </c>
      <c r="DJ14" s="1" t="n">
        <f aca="false">DF14/$DF$23</f>
        <v>0.048707873</v>
      </c>
      <c r="DK14" s="1" t="n">
        <f aca="false">DI14/SUM($DG$4:$DG$20)</f>
        <v>0.83965969</v>
      </c>
    </row>
    <row r="15" customFormat="false" ht="16" hidden="false" customHeight="true" outlineLevel="0" collapsed="false">
      <c r="A15" s="1" t="n">
        <v>42.5</v>
      </c>
      <c r="B15" s="1" t="n">
        <v>4987</v>
      </c>
      <c r="C15" s="1" t="n">
        <v>2290</v>
      </c>
      <c r="D15" s="1" t="n">
        <v>122961</v>
      </c>
      <c r="E15" s="1" t="n">
        <v>14820</v>
      </c>
      <c r="F15" s="1" t="n">
        <v>6292</v>
      </c>
      <c r="G15" s="1" t="n">
        <v>21286</v>
      </c>
      <c r="H15" s="1" t="n">
        <v>5628</v>
      </c>
      <c r="I15" s="1" t="n">
        <v>5275</v>
      </c>
      <c r="J15" s="1" t="n">
        <v>2863</v>
      </c>
      <c r="K15" s="1" t="n">
        <v>13875</v>
      </c>
      <c r="L15" s="1" t="n">
        <f aca="false">E15+F15+G15</f>
        <v>42398</v>
      </c>
      <c r="M15" s="1" t="n">
        <f aca="false">K15+I15+H15</f>
        <v>24778</v>
      </c>
      <c r="N15" s="1" t="n">
        <f aca="false">M15+B15+C15</f>
        <v>32055</v>
      </c>
      <c r="O15" s="1" t="n">
        <f aca="false">SUM(B15:L15)</f>
        <v>242675</v>
      </c>
      <c r="P15" s="1"/>
      <c r="Q15" s="1" t="n">
        <v>17</v>
      </c>
      <c r="R15" s="3" t="n">
        <f aca="false">B15</f>
        <v>4987</v>
      </c>
      <c r="S15" s="3" t="n">
        <f aca="false">C15</f>
        <v>2290</v>
      </c>
      <c r="T15" s="3" t="n">
        <f aca="false">D15</f>
        <v>122961</v>
      </c>
      <c r="U15" s="3" t="n">
        <f aca="false">E15</f>
        <v>14820</v>
      </c>
      <c r="V15" s="3" t="n">
        <f aca="false">F15</f>
        <v>6292</v>
      </c>
      <c r="W15" s="3" t="n">
        <f aca="false">G15</f>
        <v>21286</v>
      </c>
      <c r="X15" s="3" t="n">
        <f aca="false">H15</f>
        <v>5628</v>
      </c>
      <c r="Y15" s="3" t="n">
        <f aca="false">I15</f>
        <v>5275</v>
      </c>
      <c r="Z15" s="3" t="n">
        <f aca="false">J15</f>
        <v>2863</v>
      </c>
      <c r="AA15" s="3" t="n">
        <f aca="false">K15</f>
        <v>13875</v>
      </c>
      <c r="AB15" s="3" t="n">
        <f aca="false">L15</f>
        <v>42398</v>
      </c>
      <c r="AC15" s="3" t="n">
        <f aca="false">M15</f>
        <v>24778</v>
      </c>
      <c r="AD15" s="3" t="n">
        <f aca="false">N15</f>
        <v>32055</v>
      </c>
      <c r="AE15" s="3" t="n">
        <f aca="false">O15</f>
        <v>242675</v>
      </c>
      <c r="AF15" s="1" t="n">
        <f aca="false">AD15+Z15</f>
        <v>34918</v>
      </c>
      <c r="AG15" s="1" t="n">
        <f aca="false">AE15-AF15</f>
        <v>207757</v>
      </c>
      <c r="AH15" s="1"/>
      <c r="AI15" s="1"/>
      <c r="AJ15" s="1" t="n">
        <f aca="false">A15</f>
        <v>42.5</v>
      </c>
      <c r="AK15" s="2" t="n">
        <f aca="false">R15/R$27</f>
        <v>0.13138898</v>
      </c>
      <c r="AL15" s="2" t="n">
        <f aca="false">S15/S$27</f>
        <v>0.097277091</v>
      </c>
      <c r="AM15" s="2" t="n">
        <f aca="false">T15/T$27</f>
        <v>0.06567591</v>
      </c>
      <c r="AN15" s="2" t="n">
        <f aca="false">U15/U$27</f>
        <v>0.08600578</v>
      </c>
      <c r="AO15" s="2" t="n">
        <f aca="false">V15/V$27</f>
        <v>0.092759948</v>
      </c>
      <c r="AP15" s="2" t="n">
        <f aca="false">W15/W$27</f>
        <v>0.079380647</v>
      </c>
      <c r="AQ15" s="2" t="n">
        <f aca="false">X15/X$27</f>
        <v>0.14587491</v>
      </c>
      <c r="AR15" s="2" t="n">
        <f aca="false">Y15/Y$27</f>
        <v>0.055183019</v>
      </c>
      <c r="AS15" s="2" t="n">
        <f aca="false">Z15/Z$27</f>
        <v>0.022521495</v>
      </c>
      <c r="AT15" s="2" t="n">
        <f aca="false">AA15/AA$27</f>
        <v>0.063086821</v>
      </c>
      <c r="AU15" s="2" t="n">
        <f aca="false">AB15/AB$27</f>
        <v>0.083412028</v>
      </c>
      <c r="AV15" s="2" t="n">
        <f aca="false">AC15/AC$27</f>
        <v>0.0699732</v>
      </c>
      <c r="AW15" s="2" t="n">
        <f aca="false">AD15/AD$27</f>
        <v>0.077128709</v>
      </c>
      <c r="AX15" s="2" t="n">
        <f aca="false">AE15/AE$27</f>
        <v>0.070718607</v>
      </c>
      <c r="AY15" s="2" t="n">
        <f aca="false">AF15/AF$27</f>
        <v>0.064338056</v>
      </c>
      <c r="AZ15" s="2" t="n">
        <f aca="false">AG15/AG$27</f>
        <v>0.071917326</v>
      </c>
      <c r="BA15" s="1"/>
      <c r="BB15" s="2" t="n">
        <f aca="false">AK15+BB14</f>
        <v>0.70523764</v>
      </c>
      <c r="BC15" s="2" t="n">
        <f aca="false">AL15+BC14</f>
        <v>0.78178497</v>
      </c>
      <c r="BD15" s="2" t="n">
        <f aca="false">AM15+BD14</f>
        <v>0.87035256</v>
      </c>
      <c r="BE15" s="2" t="n">
        <f aca="false">AN15+BE14</f>
        <v>0.8581601</v>
      </c>
      <c r="BF15" s="2" t="n">
        <f aca="false">AO15+BF14</f>
        <v>0.74667925</v>
      </c>
      <c r="BG15" s="2" t="n">
        <f aca="false">AP15+BG14</f>
        <v>0.82998758</v>
      </c>
      <c r="BH15" s="2" t="n">
        <f aca="false">AQ15+BH14</f>
        <v>0.62043493</v>
      </c>
      <c r="BI15" s="2" t="n">
        <f aca="false">AR15+BI14</f>
        <v>0.7515038</v>
      </c>
      <c r="BJ15" s="2" t="n">
        <f aca="false">AS15+BJ14</f>
        <v>0.97832808</v>
      </c>
      <c r="BK15" s="2" t="n">
        <f aca="false">AT15+BK14</f>
        <v>0.75868779</v>
      </c>
      <c r="BL15" s="2" t="n">
        <f aca="false">AU15+BL14</f>
        <v>0.82842084</v>
      </c>
      <c r="BM15" s="2" t="n">
        <f aca="false">AV15+BM14</f>
        <v>0.74168542</v>
      </c>
      <c r="BN15" s="2" t="n">
        <f aca="false">AW15+BN14</f>
        <v>0.7406281</v>
      </c>
      <c r="BO15" s="2" t="n">
        <f aca="false">AX15+BO14</f>
        <v>0.84621912</v>
      </c>
      <c r="BP15" s="1"/>
      <c r="BQ15" s="1" t="n">
        <v>42.5</v>
      </c>
      <c r="BR15" s="2" t="n">
        <f aca="false">AX15</f>
        <v>0.070718607</v>
      </c>
      <c r="BS15" s="1" t="n">
        <f aca="false">LN(BR15)</f>
        <v>-2.6490466</v>
      </c>
      <c r="BT15" s="1" t="n">
        <f aca="false">BU15*BU15</f>
        <v>1806.25</v>
      </c>
      <c r="BU15" s="1" t="n">
        <f aca="false">BQ15</f>
        <v>42.5</v>
      </c>
      <c r="BV15" s="2" t="n">
        <f aca="false">SQRT(BQ15)</f>
        <v>6.5192024</v>
      </c>
      <c r="BW15" s="2" t="n">
        <f aca="false">EXP(+$CB$2+$CA$8*BU15+$CB$8*BV15)</f>
        <v>0.050758708</v>
      </c>
      <c r="BX15" s="2" t="n">
        <f aca="false">(BW15/$BW$26)</f>
        <v>0.053159329</v>
      </c>
      <c r="BY15" s="1"/>
      <c r="BZ15" s="1"/>
      <c r="CA15" s="1"/>
      <c r="CB15" s="1"/>
      <c r="CC15" s="1"/>
      <c r="CD15" s="1"/>
      <c r="CE15" s="1"/>
      <c r="CF15" s="1" t="n">
        <v>50</v>
      </c>
      <c r="CG15" s="1" t="n">
        <v>55</v>
      </c>
      <c r="CH15" s="1" t="n">
        <v>25139.67</v>
      </c>
      <c r="CI15" s="1" t="n">
        <v>0.0308</v>
      </c>
      <c r="CJ15" s="1" t="n">
        <v>749671.6</v>
      </c>
      <c r="CK15" s="1" t="n">
        <v>0.9198</v>
      </c>
      <c r="CL15" s="1"/>
      <c r="CM15" s="1"/>
      <c r="CN15" s="2" t="n">
        <v>0.022124936</v>
      </c>
      <c r="CW15" s="1" t="n">
        <v>55</v>
      </c>
      <c r="CX15" s="1" t="n">
        <v>60</v>
      </c>
      <c r="CY15" s="1" t="n">
        <v>18619.13</v>
      </c>
      <c r="CZ15" s="1" t="n">
        <v>0.0202</v>
      </c>
      <c r="DA15" s="1" t="n">
        <v>883024.8</v>
      </c>
      <c r="DB15" s="1" t="n">
        <v>0.9584</v>
      </c>
      <c r="DD15" s="1" t="n">
        <v>55</v>
      </c>
      <c r="DE15" s="1" t="n">
        <v>60</v>
      </c>
      <c r="DF15" s="1" t="n">
        <v>6415.495</v>
      </c>
      <c r="DG15" s="1" t="n">
        <v>0.0398</v>
      </c>
      <c r="DH15" s="1" t="n">
        <v>130495.5</v>
      </c>
      <c r="DI15" s="1" t="n">
        <v>0.8096</v>
      </c>
      <c r="DJ15" s="1" t="n">
        <f aca="false">DF15/$DF$23</f>
        <v>0.042536533</v>
      </c>
      <c r="DK15" s="1" t="n">
        <f aca="false">DI15/SUM($DG$4:$DG$20)</f>
        <v>0.88307155</v>
      </c>
    </row>
    <row r="16" customFormat="false" ht="16" hidden="false" customHeight="true" outlineLevel="0" collapsed="false">
      <c r="A16" s="1" t="n">
        <v>47.5</v>
      </c>
      <c r="B16" s="1" t="n">
        <v>3951</v>
      </c>
      <c r="C16" s="1" t="n">
        <v>671</v>
      </c>
      <c r="D16" s="1" t="n">
        <v>58245</v>
      </c>
      <c r="E16" s="1" t="n">
        <v>4629</v>
      </c>
      <c r="F16" s="1" t="n">
        <v>2901</v>
      </c>
      <c r="G16" s="1" t="n">
        <v>12071</v>
      </c>
      <c r="H16" s="1" t="n">
        <v>2867</v>
      </c>
      <c r="I16" s="1" t="n">
        <v>3026</v>
      </c>
      <c r="J16" s="1" t="n">
        <v>756</v>
      </c>
      <c r="K16" s="1" t="n">
        <v>9813</v>
      </c>
      <c r="L16" s="1" t="n">
        <f aca="false">E16+F16+G16</f>
        <v>19601</v>
      </c>
      <c r="M16" s="1" t="n">
        <f aca="false">K16+I16+H16</f>
        <v>15706</v>
      </c>
      <c r="N16" s="1" t="n">
        <f aca="false">M16+B16+C16</f>
        <v>20328</v>
      </c>
      <c r="O16" s="1" t="n">
        <f aca="false">SUM(B16:L16)</f>
        <v>118531</v>
      </c>
      <c r="P16" s="1"/>
      <c r="Q16" s="1" t="n">
        <v>19</v>
      </c>
      <c r="R16" s="3" t="n">
        <f aca="false">B16</f>
        <v>3951</v>
      </c>
      <c r="S16" s="3" t="n">
        <f aca="false">C16</f>
        <v>671</v>
      </c>
      <c r="T16" s="3" t="n">
        <f aca="false">D16</f>
        <v>58245</v>
      </c>
      <c r="U16" s="3" t="n">
        <f aca="false">E16</f>
        <v>4629</v>
      </c>
      <c r="V16" s="3" t="n">
        <f aca="false">F16</f>
        <v>2901</v>
      </c>
      <c r="W16" s="3" t="n">
        <f aca="false">G16</f>
        <v>12071</v>
      </c>
      <c r="X16" s="3" t="n">
        <f aca="false">H16</f>
        <v>2867</v>
      </c>
      <c r="Y16" s="3" t="n">
        <f aca="false">I16</f>
        <v>3026</v>
      </c>
      <c r="Z16" s="3" t="n">
        <f aca="false">J16</f>
        <v>756</v>
      </c>
      <c r="AA16" s="3" t="n">
        <f aca="false">K16</f>
        <v>9813</v>
      </c>
      <c r="AB16" s="3" t="n">
        <f aca="false">L16</f>
        <v>19601</v>
      </c>
      <c r="AC16" s="3" t="n">
        <f aca="false">M16</f>
        <v>15706</v>
      </c>
      <c r="AD16" s="3" t="n">
        <f aca="false">N16</f>
        <v>20328</v>
      </c>
      <c r="AE16" s="3" t="n">
        <f aca="false">O16</f>
        <v>118531</v>
      </c>
      <c r="AF16" s="1" t="n">
        <f aca="false">AD16+Z16</f>
        <v>21084</v>
      </c>
      <c r="AG16" s="1" t="n">
        <f aca="false">AE16-AF16</f>
        <v>97447</v>
      </c>
      <c r="AH16" s="1"/>
      <c r="AI16" s="1"/>
      <c r="AJ16" s="1" t="n">
        <f aca="false">A16</f>
        <v>47.5</v>
      </c>
      <c r="AK16" s="2" t="n">
        <f aca="false">R16/R$27</f>
        <v>0.10409421</v>
      </c>
      <c r="AL16" s="2" t="n">
        <f aca="false">S16/S$27</f>
        <v>0.028503462</v>
      </c>
      <c r="AM16" s="2" t="n">
        <f aca="false">T16/T$27</f>
        <v>0.03110981</v>
      </c>
      <c r="AN16" s="2" t="n">
        <f aca="false">U16/U$27</f>
        <v>0.026863749</v>
      </c>
      <c r="AO16" s="2" t="n">
        <f aca="false">V16/V$27</f>
        <v>0.042768056</v>
      </c>
      <c r="AP16" s="2" t="n">
        <f aca="false">W16/W$27</f>
        <v>0.045015681</v>
      </c>
      <c r="AQ16" s="2" t="n">
        <f aca="false">X16/X$27</f>
        <v>0.074311189</v>
      </c>
      <c r="AR16" s="2" t="n">
        <f aca="false">Y16/Y$27</f>
        <v>0.0316557</v>
      </c>
      <c r="AS16" s="2" t="n">
        <f aca="false">Z16/Z$27</f>
        <v>0.0059469962</v>
      </c>
      <c r="AT16" s="2" t="n">
        <f aca="false">AA16/AA$27</f>
        <v>0.044617728</v>
      </c>
      <c r="AU16" s="2" t="n">
        <f aca="false">AB16/AB$27</f>
        <v>0.038562176</v>
      </c>
      <c r="AV16" s="2" t="n">
        <f aca="false">AC16/AC$27</f>
        <v>0.044353825</v>
      </c>
      <c r="AW16" s="2" t="n">
        <f aca="false">AD16/AD$27</f>
        <v>0.048911945</v>
      </c>
      <c r="AX16" s="2" t="n">
        <f aca="false">AE16/AE$27</f>
        <v>0.034541453</v>
      </c>
      <c r="AY16" s="2" t="n">
        <f aca="false">AF16/AF$27</f>
        <v>0.038848261</v>
      </c>
      <c r="AZ16" s="2" t="n">
        <f aca="false">AG16/AG$27</f>
        <v>0.03373233</v>
      </c>
      <c r="BA16" s="1"/>
      <c r="BB16" s="2" t="n">
        <f aca="false">AK16+BB15</f>
        <v>0.80933186</v>
      </c>
      <c r="BC16" s="2" t="n">
        <f aca="false">AL16+BC15</f>
        <v>0.81028843</v>
      </c>
      <c r="BD16" s="2" t="n">
        <f aca="false">AM16+BD15</f>
        <v>0.90146237</v>
      </c>
      <c r="BE16" s="2" t="n">
        <f aca="false">AN16+BE15</f>
        <v>0.88502385</v>
      </c>
      <c r="BF16" s="2" t="n">
        <f aca="false">AO16+BF15</f>
        <v>0.7894473</v>
      </c>
      <c r="BG16" s="2" t="n">
        <f aca="false">AP16+BG15</f>
        <v>0.87500326</v>
      </c>
      <c r="BH16" s="2" t="n">
        <f aca="false">AQ16+BH15</f>
        <v>0.69474612</v>
      </c>
      <c r="BI16" s="2" t="n">
        <f aca="false">AR16+BI15</f>
        <v>0.7831595</v>
      </c>
      <c r="BJ16" s="2" t="n">
        <f aca="false">AS16+BJ15</f>
        <v>0.98427507</v>
      </c>
      <c r="BK16" s="2" t="n">
        <f aca="false">AT16+BK15</f>
        <v>0.80330552</v>
      </c>
      <c r="BL16" s="2" t="n">
        <f aca="false">AU16+BL15</f>
        <v>0.86698302</v>
      </c>
      <c r="BM16" s="2" t="n">
        <f aca="false">AV16+BM15</f>
        <v>0.78603925</v>
      </c>
      <c r="BN16" s="2" t="n">
        <f aca="false">AW16+BN15</f>
        <v>0.78954004</v>
      </c>
      <c r="BO16" s="2" t="n">
        <f aca="false">AX16+BO15</f>
        <v>0.88076058</v>
      </c>
      <c r="BP16" s="1"/>
      <c r="BQ16" s="1" t="n">
        <v>47.5</v>
      </c>
      <c r="BR16" s="2" t="n">
        <f aca="false">AX16</f>
        <v>0.034541453</v>
      </c>
      <c r="BS16" s="1" t="n">
        <f aca="false">LN(BR16)</f>
        <v>-3.3655951</v>
      </c>
      <c r="BT16" s="1" t="n">
        <f aca="false">BU16*BU16</f>
        <v>2256.25</v>
      </c>
      <c r="BU16" s="1" t="n">
        <f aca="false">BQ16</f>
        <v>47.5</v>
      </c>
      <c r="BV16" s="2" t="n">
        <f aca="false">SQRT(BQ16)</f>
        <v>6.8920244</v>
      </c>
      <c r="BW16" s="2" t="n">
        <f aca="false">EXP(+$CB$2+$CA$8*BU16+$CB$8*BV16)</f>
        <v>0.040100888</v>
      </c>
      <c r="BX16" s="2" t="n">
        <f aca="false">(BW16/$BW$26)</f>
        <v>0.04199745</v>
      </c>
      <c r="BY16" s="1"/>
      <c r="BZ16" s="1"/>
      <c r="CA16" s="1"/>
      <c r="CB16" s="1"/>
      <c r="CC16" s="1"/>
      <c r="CD16" s="1"/>
      <c r="CE16" s="1"/>
      <c r="CF16" s="1" t="n">
        <v>55</v>
      </c>
      <c r="CG16" s="1" t="n">
        <v>60</v>
      </c>
      <c r="CH16" s="1" t="n">
        <v>19130.74</v>
      </c>
      <c r="CI16" s="1" t="n">
        <v>0.0235</v>
      </c>
      <c r="CJ16" s="1" t="n">
        <v>768802.3</v>
      </c>
      <c r="CK16" s="1" t="n">
        <v>0.9432</v>
      </c>
      <c r="CL16" s="1"/>
      <c r="CM16" s="1"/>
      <c r="CN16" s="2" t="n">
        <v>0.042937931</v>
      </c>
      <c r="CW16" s="1" t="n">
        <v>60</v>
      </c>
      <c r="CX16" s="1" t="n">
        <v>65</v>
      </c>
      <c r="CY16" s="1" t="n">
        <v>13412.11</v>
      </c>
      <c r="CZ16" s="1" t="n">
        <v>0.0146</v>
      </c>
      <c r="DA16" s="1" t="n">
        <v>896437</v>
      </c>
      <c r="DB16" s="1" t="n">
        <v>0.9729</v>
      </c>
      <c r="DD16" s="1" t="n">
        <v>60</v>
      </c>
      <c r="DE16" s="1" t="n">
        <v>65</v>
      </c>
      <c r="DF16" s="1" t="n">
        <v>4852.651</v>
      </c>
      <c r="DG16" s="1" t="n">
        <v>0.0301</v>
      </c>
      <c r="DH16" s="1" t="n">
        <v>135348.2</v>
      </c>
      <c r="DI16" s="1" t="n">
        <v>0.8397</v>
      </c>
      <c r="DJ16" s="1" t="n">
        <f aca="false">DF16/$DF$23</f>
        <v>0.032174439</v>
      </c>
      <c r="DK16" s="1" t="n">
        <f aca="false">DI16/SUM($DG$4:$DG$20)</f>
        <v>0.91590314</v>
      </c>
    </row>
    <row r="17" customFormat="false" ht="16" hidden="false" customHeight="true" outlineLevel="0" collapsed="false">
      <c r="A17" s="1" t="n">
        <v>52.5</v>
      </c>
      <c r="B17" s="1" t="n">
        <v>1167</v>
      </c>
      <c r="C17" s="1" t="n">
        <v>780</v>
      </c>
      <c r="D17" s="1" t="n">
        <v>28114</v>
      </c>
      <c r="E17" s="1" t="n">
        <v>3749</v>
      </c>
      <c r="F17" s="1" t="n">
        <v>2401</v>
      </c>
      <c r="G17" s="1" t="n">
        <v>4401</v>
      </c>
      <c r="H17" s="1" t="n">
        <v>4567</v>
      </c>
      <c r="I17" s="1" t="n">
        <v>8687</v>
      </c>
      <c r="J17" s="1" t="n">
        <v>0</v>
      </c>
      <c r="K17" s="1" t="n">
        <v>11506</v>
      </c>
      <c r="L17" s="1" t="n">
        <f aca="false">E17+F17+G17</f>
        <v>10551</v>
      </c>
      <c r="M17" s="1" t="n">
        <f aca="false">K17+I17+H17</f>
        <v>24760</v>
      </c>
      <c r="N17" s="1" t="n">
        <f aca="false">M17+B17+C17</f>
        <v>26707</v>
      </c>
      <c r="O17" s="1" t="n">
        <f aca="false">SUM(B17:L17)</f>
        <v>75923</v>
      </c>
      <c r="P17" s="1"/>
      <c r="Q17" s="1" t="n">
        <v>21</v>
      </c>
      <c r="R17" s="3" t="n">
        <f aca="false">B17</f>
        <v>1167</v>
      </c>
      <c r="S17" s="3" t="n">
        <f aca="false">C17</f>
        <v>780</v>
      </c>
      <c r="T17" s="3" t="n">
        <f aca="false">D17</f>
        <v>28114</v>
      </c>
      <c r="U17" s="3" t="n">
        <f aca="false">E17</f>
        <v>3749</v>
      </c>
      <c r="V17" s="3" t="n">
        <f aca="false">F17</f>
        <v>2401</v>
      </c>
      <c r="W17" s="3" t="n">
        <f aca="false">G17</f>
        <v>4401</v>
      </c>
      <c r="X17" s="3" t="n">
        <f aca="false">H17</f>
        <v>4567</v>
      </c>
      <c r="Y17" s="3" t="n">
        <f aca="false">I17</f>
        <v>8687</v>
      </c>
      <c r="Z17" s="3" t="n">
        <f aca="false">J17</f>
        <v>0</v>
      </c>
      <c r="AA17" s="3" t="n">
        <f aca="false">K17</f>
        <v>11506</v>
      </c>
      <c r="AB17" s="3" t="n">
        <f aca="false">L17</f>
        <v>10551</v>
      </c>
      <c r="AC17" s="3" t="n">
        <f aca="false">M17</f>
        <v>24760</v>
      </c>
      <c r="AD17" s="3" t="n">
        <f aca="false">N17</f>
        <v>26707</v>
      </c>
      <c r="AE17" s="3" t="n">
        <f aca="false">O17</f>
        <v>75923</v>
      </c>
      <c r="AF17" s="1" t="n">
        <f aca="false">AD17+Z17</f>
        <v>26707</v>
      </c>
      <c r="AG17" s="1" t="n">
        <f aca="false">AE17-AF17</f>
        <v>49216</v>
      </c>
      <c r="AH17" s="1"/>
      <c r="AI17" s="1"/>
      <c r="AJ17" s="1" t="n">
        <f aca="false">A17</f>
        <v>52.5</v>
      </c>
      <c r="AK17" s="2" t="n">
        <f aca="false">R17/R$27</f>
        <v>0.030746127</v>
      </c>
      <c r="AL17" s="2" t="n">
        <f aca="false">S17/S$27</f>
        <v>0.033133682</v>
      </c>
      <c r="AM17" s="2" t="n">
        <f aca="false">T17/T$27</f>
        <v>0.015016245</v>
      </c>
      <c r="AN17" s="2" t="n">
        <f aca="false">U17/U$27</f>
        <v>0.021756793</v>
      </c>
      <c r="AO17" s="2" t="n">
        <f aca="false">V17/V$27</f>
        <v>0.035396795</v>
      </c>
      <c r="AP17" s="2" t="n">
        <f aca="false">W17/W$27</f>
        <v>0.016412395</v>
      </c>
      <c r="AQ17" s="2" t="n">
        <f aca="false">X17/X$27</f>
        <v>0.11837433</v>
      </c>
      <c r="AR17" s="2" t="n">
        <f aca="false">Y17/Y$27</f>
        <v>0.090876756</v>
      </c>
      <c r="AS17" s="2" t="n">
        <f aca="false">Z17/Z$27</f>
        <v>0</v>
      </c>
      <c r="AT17" s="2" t="n">
        <f aca="false">AA17/AA$27</f>
        <v>0.052315457</v>
      </c>
      <c r="AU17" s="2" t="n">
        <f aca="false">AB17/AB$27</f>
        <v>0.02075759</v>
      </c>
      <c r="AV17" s="2" t="n">
        <f aca="false">AC17/AC$27</f>
        <v>0.069922368</v>
      </c>
      <c r="AW17" s="2" t="n">
        <f aca="false">AD17/AD$27</f>
        <v>0.06426069</v>
      </c>
      <c r="AX17" s="2" t="n">
        <f aca="false">AE17/AE$27</f>
        <v>0.022124936</v>
      </c>
      <c r="AY17" s="2" t="n">
        <f aca="false">AF17/AF$27</f>
        <v>0.049208902</v>
      </c>
      <c r="AZ17" s="2" t="n">
        <f aca="false">AG17/AG$27</f>
        <v>0.017036649</v>
      </c>
      <c r="BA17" s="1"/>
      <c r="BB17" s="2" t="n">
        <f aca="false">AK17+BB16</f>
        <v>0.84007799</v>
      </c>
      <c r="BC17" s="2" t="n">
        <f aca="false">AL17+BC16</f>
        <v>0.84342211</v>
      </c>
      <c r="BD17" s="2" t="n">
        <f aca="false">AM17+BD16</f>
        <v>0.91647861</v>
      </c>
      <c r="BE17" s="2" t="n">
        <f aca="false">AN17+BE16</f>
        <v>0.90678064</v>
      </c>
      <c r="BF17" s="2" t="n">
        <f aca="false">AO17+BF16</f>
        <v>0.8248441</v>
      </c>
      <c r="BG17" s="2" t="n">
        <f aca="false">AP17+BG16</f>
        <v>0.89141566</v>
      </c>
      <c r="BH17" s="2" t="n">
        <f aca="false">AQ17+BH16</f>
        <v>0.81312045</v>
      </c>
      <c r="BI17" s="2" t="n">
        <f aca="false">AR17+BI16</f>
        <v>0.87403626</v>
      </c>
      <c r="BJ17" s="2" t="n">
        <f aca="false">AS17+BJ16</f>
        <v>0.98427507</v>
      </c>
      <c r="BK17" s="2" t="n">
        <f aca="false">AT17+BK16</f>
        <v>0.85562098</v>
      </c>
      <c r="BL17" s="2" t="n">
        <f aca="false">AU17+BL16</f>
        <v>0.88774061</v>
      </c>
      <c r="BM17" s="2" t="n">
        <f aca="false">AV17+BM16</f>
        <v>0.85596162</v>
      </c>
      <c r="BN17" s="2" t="n">
        <f aca="false">AW17+BN16</f>
        <v>0.85380073</v>
      </c>
      <c r="BO17" s="2" t="n">
        <f aca="false">AX17+BO16</f>
        <v>0.90288551</v>
      </c>
      <c r="BP17" s="1"/>
      <c r="BQ17" s="1" t="n">
        <v>52.5</v>
      </c>
      <c r="BR17" s="2" t="n">
        <f aca="false">AX17</f>
        <v>0.022124936</v>
      </c>
      <c r="BS17" s="1" t="n">
        <f aca="false">LN(BR17)</f>
        <v>-3.81105</v>
      </c>
      <c r="BT17" s="1" t="n">
        <f aca="false">BU17*BU17</f>
        <v>2756.25</v>
      </c>
      <c r="BU17" s="1" t="n">
        <f aca="false">BQ17</f>
        <v>52.5</v>
      </c>
      <c r="BV17" s="2" t="n">
        <f aca="false">SQRT(BQ17)</f>
        <v>7.2456884</v>
      </c>
      <c r="BW17" s="2" t="n">
        <f aca="false">EXP(+$CB$2+$CA$8*BU17+$CB$8*BV17)</f>
        <v>0.031216641</v>
      </c>
      <c r="BX17" s="2" t="n">
        <f aca="false">(BW17/$BW$26)</f>
        <v>0.032693024</v>
      </c>
      <c r="BY17" s="1"/>
      <c r="BZ17" s="1"/>
      <c r="CA17" s="1"/>
      <c r="CB17" s="1"/>
      <c r="CC17" s="1"/>
      <c r="CD17" s="1"/>
      <c r="CE17" s="1"/>
      <c r="CF17" s="1" t="n">
        <v>60</v>
      </c>
      <c r="CG17" s="1" t="n">
        <v>65</v>
      </c>
      <c r="CH17" s="1" t="n">
        <v>14698.7</v>
      </c>
      <c r="CI17" s="1" t="n">
        <v>0.018</v>
      </c>
      <c r="CJ17" s="1" t="n">
        <v>783501</v>
      </c>
      <c r="CK17" s="1" t="n">
        <v>0.9613</v>
      </c>
      <c r="CL17" s="1"/>
      <c r="CM17" s="1"/>
      <c r="CN17" s="2" t="n">
        <v>0.012722792</v>
      </c>
      <c r="CW17" s="1" t="n">
        <v>65</v>
      </c>
      <c r="CX17" s="1" t="n">
        <v>70</v>
      </c>
      <c r="CY17" s="1" t="n">
        <v>9979.609</v>
      </c>
      <c r="CZ17" s="1" t="n">
        <v>0.0108</v>
      </c>
      <c r="DA17" s="1" t="n">
        <v>906416.6</v>
      </c>
      <c r="DB17" s="1" t="n">
        <v>0.9838</v>
      </c>
      <c r="DD17" s="1" t="n">
        <v>65</v>
      </c>
      <c r="DE17" s="1" t="n">
        <v>70</v>
      </c>
      <c r="DF17" s="1" t="n">
        <v>4354.211</v>
      </c>
      <c r="DG17" s="1" t="n">
        <v>0.027</v>
      </c>
      <c r="DH17" s="1" t="n">
        <v>139702.4</v>
      </c>
      <c r="DI17" s="1" t="n">
        <v>0.8667</v>
      </c>
      <c r="DJ17" s="1" t="n">
        <f aca="false">DF17/$DF$23</f>
        <v>0.028869642</v>
      </c>
      <c r="DK17" s="1" t="n">
        <f aca="false">DI17/SUM($DG$4:$DG$20)</f>
        <v>0.9453534</v>
      </c>
    </row>
    <row r="18" customFormat="false" ht="16" hidden="false" customHeight="true" outlineLevel="0" collapsed="false">
      <c r="A18" s="1" t="n">
        <v>57.5</v>
      </c>
      <c r="B18" s="1" t="n">
        <v>1903</v>
      </c>
      <c r="C18" s="1" t="n">
        <v>1282</v>
      </c>
      <c r="D18" s="1" t="n">
        <v>74642</v>
      </c>
      <c r="E18" s="1" t="n">
        <v>7128</v>
      </c>
      <c r="F18" s="1" t="n">
        <v>3702</v>
      </c>
      <c r="G18" s="1" t="n">
        <v>16245</v>
      </c>
      <c r="H18" s="1" t="n">
        <v>1430</v>
      </c>
      <c r="I18" s="1" t="n">
        <v>2311</v>
      </c>
      <c r="J18" s="1" t="n">
        <v>974</v>
      </c>
      <c r="K18" s="1" t="n">
        <v>10652</v>
      </c>
      <c r="L18" s="1" t="n">
        <f aca="false">E18+F18+G18</f>
        <v>27075</v>
      </c>
      <c r="M18" s="1" t="n">
        <f aca="false">K18+I18+H18</f>
        <v>14393</v>
      </c>
      <c r="N18" s="1" t="n">
        <f aca="false">M18+B18+C18</f>
        <v>17578</v>
      </c>
      <c r="O18" s="1" t="n">
        <f aca="false">SUM(B18:L18)</f>
        <v>147344</v>
      </c>
      <c r="P18" s="1"/>
      <c r="Q18" s="1" t="n">
        <v>23</v>
      </c>
      <c r="R18" s="3" t="n">
        <f aca="false">B18</f>
        <v>1903</v>
      </c>
      <c r="S18" s="3" t="n">
        <f aca="false">C18</f>
        <v>1282</v>
      </c>
      <c r="T18" s="3" t="n">
        <f aca="false">D18</f>
        <v>74642</v>
      </c>
      <c r="U18" s="3" t="n">
        <f aca="false">E18</f>
        <v>7128</v>
      </c>
      <c r="V18" s="3" t="n">
        <f aca="false">F18</f>
        <v>3702</v>
      </c>
      <c r="W18" s="3" t="n">
        <f aca="false">G18</f>
        <v>16245</v>
      </c>
      <c r="X18" s="3" t="n">
        <f aca="false">H18</f>
        <v>1430</v>
      </c>
      <c r="Y18" s="3" t="n">
        <f aca="false">I18</f>
        <v>2311</v>
      </c>
      <c r="Z18" s="3" t="n">
        <f aca="false">J18</f>
        <v>974</v>
      </c>
      <c r="AA18" s="3" t="n">
        <f aca="false">K18</f>
        <v>10652</v>
      </c>
      <c r="AB18" s="3" t="n">
        <f aca="false">L18</f>
        <v>27075</v>
      </c>
      <c r="AC18" s="3" t="n">
        <f aca="false">M18</f>
        <v>14393</v>
      </c>
      <c r="AD18" s="3" t="n">
        <f aca="false">N18</f>
        <v>17578</v>
      </c>
      <c r="AE18" s="3" t="n">
        <f aca="false">O18</f>
        <v>147344</v>
      </c>
      <c r="AF18" s="1" t="n">
        <f aca="false">AD18+Z18</f>
        <v>18552</v>
      </c>
      <c r="AG18" s="1" t="n">
        <f aca="false">AE18-AF18</f>
        <v>128792</v>
      </c>
      <c r="AH18" s="1"/>
      <c r="AI18" s="1"/>
      <c r="AJ18" s="1" t="n">
        <f aca="false">A18</f>
        <v>57.5</v>
      </c>
      <c r="AK18" s="2" t="n">
        <f aca="false">R18/R$27</f>
        <v>0.050137001</v>
      </c>
      <c r="AL18" s="2" t="n">
        <f aca="false">S18/S$27</f>
        <v>0.054458179</v>
      </c>
      <c r="AM18" s="2" t="n">
        <f aca="false">T18/T$27</f>
        <v>0.039867773</v>
      </c>
      <c r="AN18" s="2" t="n">
        <f aca="false">U18/U$27</f>
        <v>0.041366343</v>
      </c>
      <c r="AO18" s="2" t="n">
        <f aca="false">V18/V$27</f>
        <v>0.054576816</v>
      </c>
      <c r="AP18" s="2" t="n">
        <f aca="false">W18/W$27</f>
        <v>0.060581538</v>
      </c>
      <c r="AQ18" s="2" t="n">
        <f aca="false">X18/X$27</f>
        <v>0.037064876</v>
      </c>
      <c r="AR18" s="2" t="n">
        <f aca="false">Y18/Y$27</f>
        <v>0.024175916</v>
      </c>
      <c r="AS18" s="2" t="n">
        <f aca="false">Z18/Z$27</f>
        <v>0.0076618708</v>
      </c>
      <c r="AT18" s="2" t="n">
        <f aca="false">AA18/AA$27</f>
        <v>0.048432491</v>
      </c>
      <c r="AU18" s="2" t="n">
        <f aca="false">AB18/AB$27</f>
        <v>0.053266207</v>
      </c>
      <c r="AV18" s="2" t="n">
        <f aca="false">AC18/AC$27</f>
        <v>0.040645906</v>
      </c>
      <c r="AW18" s="2" t="n">
        <f aca="false">AD18/AD$27</f>
        <v>0.042295069</v>
      </c>
      <c r="AX18" s="2" t="n">
        <f aca="false">AE18/AE$27</f>
        <v>0.042937931</v>
      </c>
      <c r="AY18" s="2" t="n">
        <f aca="false">AF18/AF$27</f>
        <v>0.034182932</v>
      </c>
      <c r="AZ18" s="2" t="n">
        <f aca="false">AG18/AG$27</f>
        <v>0.04458274</v>
      </c>
      <c r="BA18" s="1"/>
      <c r="BB18" s="2" t="n">
        <f aca="false">AK18+BB17</f>
        <v>0.89021499</v>
      </c>
      <c r="BC18" s="2" t="n">
        <f aca="false">AL18+BC17</f>
        <v>0.89788029</v>
      </c>
      <c r="BD18" s="2" t="n">
        <f aca="false">AM18+BD17</f>
        <v>0.95634639</v>
      </c>
      <c r="BE18" s="2" t="n">
        <f aca="false">AN18+BE17</f>
        <v>0.94814699</v>
      </c>
      <c r="BF18" s="2" t="n">
        <f aca="false">AO18+BF17</f>
        <v>0.87942091</v>
      </c>
      <c r="BG18" s="2" t="n">
        <f aca="false">AP18+BG17</f>
        <v>0.9519972</v>
      </c>
      <c r="BH18" s="2" t="n">
        <f aca="false">AQ18+BH17</f>
        <v>0.85018532</v>
      </c>
      <c r="BI18" s="2" t="n">
        <f aca="false">AR18+BI17</f>
        <v>0.89821217</v>
      </c>
      <c r="BJ18" s="2" t="n">
        <f aca="false">AS18+BJ17</f>
        <v>0.99193694</v>
      </c>
      <c r="BK18" s="2" t="n">
        <f aca="false">AT18+BK17</f>
        <v>0.90405347</v>
      </c>
      <c r="BL18" s="2" t="n">
        <f aca="false">AU18+BL17</f>
        <v>0.94100681</v>
      </c>
      <c r="BM18" s="2" t="n">
        <f aca="false">AV18+BM17</f>
        <v>0.89660752</v>
      </c>
      <c r="BN18" s="2" t="n">
        <f aca="false">AW18+BN17</f>
        <v>0.8960958</v>
      </c>
      <c r="BO18" s="2" t="n">
        <f aca="false">AX18+BO17</f>
        <v>0.94582344</v>
      </c>
      <c r="BP18" s="1"/>
      <c r="BQ18" s="1" t="n">
        <v>57.5</v>
      </c>
      <c r="BR18" s="2" t="n">
        <f aca="false">AX18</f>
        <v>0.042937931</v>
      </c>
      <c r="BS18" s="1" t="n">
        <f aca="false">LN(BR18)</f>
        <v>-3.1479997</v>
      </c>
      <c r="BT18" s="1" t="n">
        <f aca="false">BU18*BU18</f>
        <v>3306.25</v>
      </c>
      <c r="BU18" s="1" t="n">
        <f aca="false">BQ18</f>
        <v>57.5</v>
      </c>
      <c r="BV18" s="2" t="n">
        <f aca="false">SQRT(BQ18)</f>
        <v>7.5828754</v>
      </c>
      <c r="BW18" s="2" t="n">
        <f aca="false">EXP(+$CB$2+$CA$8*BU18+$CB$8*BV18)</f>
        <v>0.023994092</v>
      </c>
      <c r="BX18" s="2" t="n">
        <f aca="false">(BW18/$BW$26)</f>
        <v>0.025128887</v>
      </c>
      <c r="BY18" s="1"/>
      <c r="BZ18" s="1"/>
      <c r="CA18" s="1"/>
      <c r="CB18" s="1"/>
      <c r="CC18" s="1"/>
      <c r="CD18" s="1"/>
      <c r="CE18" s="1"/>
      <c r="CF18" s="1" t="n">
        <v>65</v>
      </c>
      <c r="CG18" s="1" t="n">
        <v>70</v>
      </c>
      <c r="CH18" s="1" t="n">
        <v>10950.71</v>
      </c>
      <c r="CI18" s="1" t="n">
        <v>0.0134</v>
      </c>
      <c r="CJ18" s="1" t="n">
        <v>794451.7</v>
      </c>
      <c r="CK18" s="1" t="n">
        <v>0.9747</v>
      </c>
      <c r="CL18" s="1"/>
      <c r="CM18" s="1"/>
      <c r="CN18" s="2" t="n">
        <v>0.011145958</v>
      </c>
      <c r="CQ18" s="1" t="s">
        <v>1</v>
      </c>
      <c r="CW18" s="1" t="n">
        <v>70</v>
      </c>
      <c r="CX18" s="1" t="n">
        <v>75</v>
      </c>
      <c r="CY18" s="1" t="n">
        <v>6371.347</v>
      </c>
      <c r="CZ18" s="1" t="n">
        <v>0.0069</v>
      </c>
      <c r="DA18" s="1" t="n">
        <v>912788</v>
      </c>
      <c r="DB18" s="1" t="n">
        <v>0.9907</v>
      </c>
      <c r="DD18" s="1" t="n">
        <v>70</v>
      </c>
      <c r="DE18" s="1" t="n">
        <v>75</v>
      </c>
      <c r="DF18" s="1" t="n">
        <v>3145.559</v>
      </c>
      <c r="DG18" s="1" t="n">
        <v>0.0195</v>
      </c>
      <c r="DH18" s="1" t="n">
        <v>142847.9</v>
      </c>
      <c r="DI18" s="1" t="n">
        <v>0.8863</v>
      </c>
      <c r="DJ18" s="1" t="n">
        <f aca="false">DF18/$DF$23</f>
        <v>0.020855939</v>
      </c>
      <c r="DK18" s="1" t="n">
        <f aca="false">DI18/SUM($DG$4:$DG$20)</f>
        <v>0.96673211</v>
      </c>
    </row>
    <row r="19" customFormat="false" ht="16" hidden="false" customHeight="true" outlineLevel="0" collapsed="false">
      <c r="A19" s="1" t="n">
        <v>62.5</v>
      </c>
      <c r="B19" s="1" t="n">
        <v>1576</v>
      </c>
      <c r="C19" s="1" t="n">
        <v>1056</v>
      </c>
      <c r="D19" s="1" t="n">
        <v>18209</v>
      </c>
      <c r="E19" s="1" t="n">
        <v>2898</v>
      </c>
      <c r="F19" s="1" t="n">
        <v>1738</v>
      </c>
      <c r="G19" s="1" t="n">
        <v>2232</v>
      </c>
      <c r="H19" s="1" t="n">
        <v>691</v>
      </c>
      <c r="I19" s="1" t="n">
        <v>2400</v>
      </c>
      <c r="J19" s="1" t="n">
        <v>487</v>
      </c>
      <c r="K19" s="1" t="n">
        <v>5504</v>
      </c>
      <c r="L19" s="1" t="n">
        <f aca="false">E19+F19+G19</f>
        <v>6868</v>
      </c>
      <c r="M19" s="1" t="n">
        <f aca="false">K19+I19+H19</f>
        <v>8595</v>
      </c>
      <c r="N19" s="1" t="n">
        <f aca="false">M19+B19+C19</f>
        <v>11227</v>
      </c>
      <c r="O19" s="1" t="n">
        <f aca="false">SUM(B19:L19)</f>
        <v>43659</v>
      </c>
      <c r="P19" s="1"/>
      <c r="Q19" s="1" t="n">
        <v>25</v>
      </c>
      <c r="R19" s="3" t="n">
        <f aca="false">B19</f>
        <v>1576</v>
      </c>
      <c r="S19" s="3" t="n">
        <f aca="false">C19</f>
        <v>1056</v>
      </c>
      <c r="T19" s="3" t="n">
        <f aca="false">D19</f>
        <v>18209</v>
      </c>
      <c r="U19" s="3" t="n">
        <f aca="false">E19</f>
        <v>2898</v>
      </c>
      <c r="V19" s="3" t="n">
        <f aca="false">F19</f>
        <v>1738</v>
      </c>
      <c r="W19" s="3" t="n">
        <f aca="false">G19</f>
        <v>2232</v>
      </c>
      <c r="X19" s="3" t="n">
        <f aca="false">H19</f>
        <v>691</v>
      </c>
      <c r="Y19" s="3" t="n">
        <f aca="false">I19</f>
        <v>2400</v>
      </c>
      <c r="Z19" s="3" t="n">
        <f aca="false">J19</f>
        <v>487</v>
      </c>
      <c r="AA19" s="3" t="n">
        <f aca="false">K19</f>
        <v>5504</v>
      </c>
      <c r="AB19" s="3" t="n">
        <f aca="false">L19</f>
        <v>6868</v>
      </c>
      <c r="AC19" s="3" t="n">
        <f aca="false">M19</f>
        <v>8595</v>
      </c>
      <c r="AD19" s="3" t="n">
        <f aca="false">N19</f>
        <v>11227</v>
      </c>
      <c r="AE19" s="3" t="n">
        <f aca="false">O19</f>
        <v>43659</v>
      </c>
      <c r="AF19" s="1" t="n">
        <f aca="false">AD19+Z19</f>
        <v>11714</v>
      </c>
      <c r="AG19" s="1" t="n">
        <f aca="false">AE19-AF19</f>
        <v>31945</v>
      </c>
      <c r="AH19" s="1"/>
      <c r="AI19" s="1"/>
      <c r="AJ19" s="1" t="n">
        <f aca="false">A19</f>
        <v>62.5</v>
      </c>
      <c r="AK19" s="2" t="n">
        <f aca="false">R19/R$27</f>
        <v>0.041521762</v>
      </c>
      <c r="AL19" s="2" t="n">
        <f aca="false">S19/S$27</f>
        <v>0.044857907</v>
      </c>
      <c r="AM19" s="2" t="n">
        <f aca="false">T19/T$27</f>
        <v>0.0097257882</v>
      </c>
      <c r="AN19" s="2" t="n">
        <f aca="false">U19/U$27</f>
        <v>0.016818134</v>
      </c>
      <c r="AO19" s="2" t="n">
        <f aca="false">V19/V$27</f>
        <v>0.025622503</v>
      </c>
      <c r="AP19" s="2" t="n">
        <f aca="false">W19/W$27</f>
        <v>0.0083236684</v>
      </c>
      <c r="AQ19" s="2" t="n">
        <f aca="false">X19/X$27</f>
        <v>0.01791037</v>
      </c>
      <c r="AR19" s="2" t="n">
        <f aca="false">Y19/Y$27</f>
        <v>0.025106966</v>
      </c>
      <c r="AS19" s="2" t="n">
        <f aca="false">Z19/Z$27</f>
        <v>0.0038309354</v>
      </c>
      <c r="AT19" s="2" t="n">
        <f aca="false">AA19/AA$27</f>
        <v>0.025025576</v>
      </c>
      <c r="AU19" s="2" t="n">
        <f aca="false">AB19/AB$27</f>
        <v>0.013511812</v>
      </c>
      <c r="AV19" s="2" t="n">
        <f aca="false">AC19/AC$27</f>
        <v>0.024272324</v>
      </c>
      <c r="AW19" s="2" t="n">
        <f aca="false">AD19/AD$27</f>
        <v>0.027013696</v>
      </c>
      <c r="AX19" s="2" t="n">
        <f aca="false">AE19/AE$27</f>
        <v>0.012722792</v>
      </c>
      <c r="AY19" s="2" t="n">
        <f aca="false">AF19/AF$27</f>
        <v>0.021583595</v>
      </c>
      <c r="AZ19" s="2" t="n">
        <f aca="false">AG19/AG$27</f>
        <v>0.011058106</v>
      </c>
      <c r="BA19" s="1"/>
      <c r="BB19" s="2" t="n">
        <f aca="false">AK19+BB18</f>
        <v>0.93173675</v>
      </c>
      <c r="BC19" s="2" t="n">
        <f aca="false">AL19+BC18</f>
        <v>0.9427382</v>
      </c>
      <c r="BD19" s="2" t="n">
        <f aca="false">AM19+BD18</f>
        <v>0.96607217</v>
      </c>
      <c r="BE19" s="2" t="n">
        <f aca="false">AN19+BE18</f>
        <v>0.96496512</v>
      </c>
      <c r="BF19" s="2" t="n">
        <f aca="false">AO19+BF18</f>
        <v>0.90504342</v>
      </c>
      <c r="BG19" s="2" t="n">
        <f aca="false">AP19+BG18</f>
        <v>0.96032086</v>
      </c>
      <c r="BH19" s="2" t="n">
        <f aca="false">AQ19+BH18</f>
        <v>0.86809569</v>
      </c>
      <c r="BI19" s="2" t="n">
        <f aca="false">AR19+BI18</f>
        <v>0.92331914</v>
      </c>
      <c r="BJ19" s="2" t="n">
        <f aca="false">AS19+BJ18</f>
        <v>0.99576788</v>
      </c>
      <c r="BK19" s="2" t="n">
        <f aca="false">AT19+BK18</f>
        <v>0.92907905</v>
      </c>
      <c r="BL19" s="2" t="n">
        <f aca="false">AU19+BL18</f>
        <v>0.95451863</v>
      </c>
      <c r="BM19" s="2" t="n">
        <f aca="false">AV19+BM18</f>
        <v>0.92087985</v>
      </c>
      <c r="BN19" s="2" t="n">
        <f aca="false">AW19+BN18</f>
        <v>0.9231095</v>
      </c>
      <c r="BO19" s="2" t="n">
        <f aca="false">AX19+BO18</f>
        <v>0.95854623</v>
      </c>
      <c r="BP19" s="1"/>
      <c r="BQ19" s="1" t="n">
        <v>62.5</v>
      </c>
      <c r="BR19" s="2" t="n">
        <f aca="false">AX19</f>
        <v>0.012722792</v>
      </c>
      <c r="BS19" s="1" t="n">
        <f aca="false">LN(BR19)</f>
        <v>-4.3643602</v>
      </c>
      <c r="BT19" s="1" t="n">
        <f aca="false">BU19*BU19</f>
        <v>3906.25</v>
      </c>
      <c r="BU19" s="1" t="n">
        <f aca="false">BQ19</f>
        <v>62.5</v>
      </c>
      <c r="BV19" s="2" t="n">
        <f aca="false">SQRT(BQ19)</f>
        <v>7.9056942</v>
      </c>
      <c r="BW19" s="2" t="n">
        <f aca="false">EXP(+$CB$2+$CA$8*BU19+$CB$8*BV19)</f>
        <v>0.018239548</v>
      </c>
      <c r="BX19" s="2" t="n">
        <f aca="false">(BW19/$BW$26)</f>
        <v>0.019102183</v>
      </c>
      <c r="BY19" s="1"/>
      <c r="BZ19" s="1"/>
      <c r="CA19" s="1"/>
      <c r="CB19" s="1"/>
      <c r="CC19" s="1"/>
      <c r="CD19" s="1"/>
      <c r="CE19" s="1"/>
      <c r="CF19" s="1" t="n">
        <v>70</v>
      </c>
      <c r="CG19" s="1" t="n">
        <v>75</v>
      </c>
      <c r="CH19" s="1" t="n">
        <v>7829.482</v>
      </c>
      <c r="CI19" s="1" t="n">
        <v>0.0096</v>
      </c>
      <c r="CJ19" s="1" t="n">
        <v>802281.2</v>
      </c>
      <c r="CK19" s="1" t="n">
        <v>0.9843</v>
      </c>
      <c r="CL19" s="1"/>
      <c r="CM19" s="1"/>
      <c r="CN19" s="2" t="n">
        <v>0.013247044</v>
      </c>
      <c r="CP19" s="1" t="s">
        <v>2</v>
      </c>
      <c r="CS19" s="1" t="n">
        <v>0.004485429</v>
      </c>
      <c r="CW19" s="1" t="n">
        <v>75</v>
      </c>
      <c r="CX19" s="1" t="n">
        <v>80</v>
      </c>
      <c r="CY19" s="1" t="n">
        <v>4476.533</v>
      </c>
      <c r="CZ19" s="1" t="n">
        <v>0.0049</v>
      </c>
      <c r="DA19" s="1" t="n">
        <v>917264.5</v>
      </c>
      <c r="DB19" s="1" t="n">
        <v>0.9955</v>
      </c>
      <c r="DD19" s="1" t="n">
        <v>75</v>
      </c>
      <c r="DE19" s="1" t="n">
        <v>80</v>
      </c>
      <c r="DF19" s="1" t="n">
        <v>2667.329</v>
      </c>
      <c r="DG19" s="1" t="n">
        <v>0.0165</v>
      </c>
      <c r="DH19" s="1" t="n">
        <v>145515.3</v>
      </c>
      <c r="DI19" s="1" t="n">
        <v>0.9028</v>
      </c>
      <c r="DJ19" s="1" t="n">
        <f aca="false">DF19/$DF$23</f>
        <v>0.01768514</v>
      </c>
      <c r="DK19" s="1" t="n">
        <f aca="false">DI19/SUM($DG$4:$DG$20)</f>
        <v>0.98472949</v>
      </c>
    </row>
    <row r="20" customFormat="false" ht="16" hidden="false" customHeight="true" outlineLevel="0" collapsed="false">
      <c r="A20" s="1" t="n">
        <v>67.5</v>
      </c>
      <c r="B20" s="1" t="n">
        <v>818</v>
      </c>
      <c r="C20" s="1" t="n">
        <v>649</v>
      </c>
      <c r="D20" s="1" t="n">
        <v>16810</v>
      </c>
      <c r="E20" s="1" t="n">
        <v>1609</v>
      </c>
      <c r="F20" s="1" t="n">
        <v>1697</v>
      </c>
      <c r="G20" s="1" t="n">
        <v>2610</v>
      </c>
      <c r="H20" s="1" t="n">
        <v>1733</v>
      </c>
      <c r="I20" s="1" t="n">
        <v>2098</v>
      </c>
      <c r="J20" s="1" t="n">
        <v>133</v>
      </c>
      <c r="K20" s="1" t="n">
        <v>4175</v>
      </c>
      <c r="L20" s="1" t="n">
        <f aca="false">E20+F20+G20</f>
        <v>5916</v>
      </c>
      <c r="M20" s="1" t="n">
        <f aca="false">K20+I20+H20</f>
        <v>8006</v>
      </c>
      <c r="N20" s="1" t="n">
        <f aca="false">M20+B20+C20</f>
        <v>9473</v>
      </c>
      <c r="O20" s="1" t="n">
        <f aca="false">SUM(B20:L20)</f>
        <v>38248</v>
      </c>
      <c r="P20" s="1"/>
      <c r="Q20" s="1" t="n">
        <v>27</v>
      </c>
      <c r="R20" s="3" t="n">
        <f aca="false">B20</f>
        <v>818</v>
      </c>
      <c r="S20" s="3" t="n">
        <f aca="false">C20</f>
        <v>649</v>
      </c>
      <c r="T20" s="3" t="n">
        <f aca="false">D20</f>
        <v>16810</v>
      </c>
      <c r="U20" s="3" t="n">
        <f aca="false">E20</f>
        <v>1609</v>
      </c>
      <c r="V20" s="3" t="n">
        <f aca="false">F20</f>
        <v>1697</v>
      </c>
      <c r="W20" s="3" t="n">
        <f aca="false">G20</f>
        <v>2610</v>
      </c>
      <c r="X20" s="3" t="n">
        <f aca="false">H20</f>
        <v>1733</v>
      </c>
      <c r="Y20" s="3" t="n">
        <f aca="false">I20</f>
        <v>2098</v>
      </c>
      <c r="Z20" s="3" t="n">
        <f aca="false">J20</f>
        <v>133</v>
      </c>
      <c r="AA20" s="3" t="n">
        <f aca="false">K20</f>
        <v>4175</v>
      </c>
      <c r="AB20" s="3" t="n">
        <f aca="false">L20</f>
        <v>5916</v>
      </c>
      <c r="AC20" s="3" t="n">
        <f aca="false">M20</f>
        <v>8006</v>
      </c>
      <c r="AD20" s="3" t="n">
        <f aca="false">N20</f>
        <v>9473</v>
      </c>
      <c r="AE20" s="3" t="n">
        <f aca="false">O20</f>
        <v>38248</v>
      </c>
      <c r="AF20" s="1" t="n">
        <f aca="false">AD20+Z20</f>
        <v>9606</v>
      </c>
      <c r="AG20" s="1" t="n">
        <f aca="false">AE20-AF20</f>
        <v>28642</v>
      </c>
      <c r="AH20" s="1"/>
      <c r="AI20" s="1"/>
      <c r="AJ20" s="1" t="n">
        <f aca="false">A20</f>
        <v>67.5</v>
      </c>
      <c r="AK20" s="2" t="n">
        <f aca="false">R20/R$27</f>
        <v>0.02155127</v>
      </c>
      <c r="AL20" s="2" t="n">
        <f aca="false">S20/S$27</f>
        <v>0.027568922</v>
      </c>
      <c r="AM20" s="2" t="n">
        <f aca="false">T20/T$27</f>
        <v>0.0089785546</v>
      </c>
      <c r="AN20" s="2" t="n">
        <f aca="false">U20/U$27</f>
        <v>0.0093376046</v>
      </c>
      <c r="AO20" s="2" t="n">
        <f aca="false">V20/V$27</f>
        <v>0.02501806</v>
      </c>
      <c r="AP20" s="2" t="n">
        <f aca="false">W20/W$27</f>
        <v>0.0097333219</v>
      </c>
      <c r="AQ20" s="2" t="n">
        <f aca="false">X20/X$27</f>
        <v>0.044918483</v>
      </c>
      <c r="AR20" s="2" t="n">
        <f aca="false">Y20/Y$27</f>
        <v>0.021947673</v>
      </c>
      <c r="AS20" s="2" t="n">
        <f aca="false">Z20/Z$27</f>
        <v>0.0010462308</v>
      </c>
      <c r="AT20" s="2" t="n">
        <f aca="false">AA20/AA$27</f>
        <v>0.018982881</v>
      </c>
      <c r="AU20" s="2" t="n">
        <f aca="false">AB20/AB$27</f>
        <v>0.011638888</v>
      </c>
      <c r="AV20" s="2" t="n">
        <f aca="false">AC20/AC$27</f>
        <v>0.022608985</v>
      </c>
      <c r="AW20" s="2" t="n">
        <f aca="false">AD20/AD$27</f>
        <v>0.022793332</v>
      </c>
      <c r="AX20" s="2" t="n">
        <f aca="false">AE20/AE$27</f>
        <v>0.011145958</v>
      </c>
      <c r="AY20" s="2" t="n">
        <f aca="false">AF20/AF$27</f>
        <v>0.017699506</v>
      </c>
      <c r="AZ20" s="2" t="n">
        <f aca="false">AG20/AG$27</f>
        <v>0.0099147371</v>
      </c>
      <c r="BA20" s="1"/>
      <c r="BB20" s="2" t="n">
        <f aca="false">AK20+BB19</f>
        <v>0.95328802</v>
      </c>
      <c r="BC20" s="2" t="n">
        <f aca="false">AL20+BC19</f>
        <v>0.97030712</v>
      </c>
      <c r="BD20" s="2" t="n">
        <f aca="false">AM20+BD19</f>
        <v>0.97505073</v>
      </c>
      <c r="BE20" s="2" t="n">
        <f aca="false">AN20+BE19</f>
        <v>0.97430273</v>
      </c>
      <c r="BF20" s="2" t="n">
        <f aca="false">AO20+BF19</f>
        <v>0.93006148</v>
      </c>
      <c r="BG20" s="2" t="n">
        <f aca="false">AP20+BG19</f>
        <v>0.97005419</v>
      </c>
      <c r="BH20" s="2" t="n">
        <f aca="false">AQ20+BH19</f>
        <v>0.91301418</v>
      </c>
      <c r="BI20" s="2" t="n">
        <f aca="false">AR20+BI19</f>
        <v>0.94526681</v>
      </c>
      <c r="BJ20" s="2" t="n">
        <f aca="false">AS20+BJ19</f>
        <v>0.99681411</v>
      </c>
      <c r="BK20" s="2" t="n">
        <f aca="false">AT20+BK19</f>
        <v>0.94806193</v>
      </c>
      <c r="BL20" s="2" t="n">
        <f aca="false">AU20+BL19</f>
        <v>0.96615751</v>
      </c>
      <c r="BM20" s="2" t="n">
        <f aca="false">AV20+BM19</f>
        <v>0.94348883</v>
      </c>
      <c r="BN20" s="2" t="n">
        <f aca="false">AW20+BN19</f>
        <v>0.94590283</v>
      </c>
      <c r="BO20" s="2" t="n">
        <f aca="false">AX20+BO19</f>
        <v>0.96969219</v>
      </c>
      <c r="BP20" s="1"/>
      <c r="BQ20" s="1" t="n">
        <v>67.5</v>
      </c>
      <c r="BR20" s="2" t="n">
        <f aca="false">AX20</f>
        <v>0.011145958</v>
      </c>
      <c r="BS20" s="1" t="n">
        <f aca="false">LN(BR20)</f>
        <v>-4.4966784</v>
      </c>
      <c r="BT20" s="1" t="n">
        <f aca="false">BU20*BU20</f>
        <v>4556.25</v>
      </c>
      <c r="BU20" s="1" t="n">
        <f aca="false">BQ20</f>
        <v>67.5</v>
      </c>
      <c r="BV20" s="2" t="n">
        <f aca="false">SQRT(BQ20)</f>
        <v>8.2158384</v>
      </c>
      <c r="BW20" s="2" t="n">
        <f aca="false">EXP(+$CB$2+$CA$8*BU20+$CB$8*BV20)</f>
        <v>0.013730371</v>
      </c>
      <c r="BX20" s="2" t="n">
        <f aca="false">(BW20/$BW$26)</f>
        <v>0.014379746</v>
      </c>
      <c r="BY20" s="1"/>
      <c r="BZ20" s="1"/>
      <c r="CA20" s="1"/>
      <c r="CB20" s="1"/>
      <c r="CC20" s="1"/>
      <c r="CD20" s="1"/>
      <c r="CE20" s="1"/>
      <c r="CF20" s="1" t="n">
        <v>75</v>
      </c>
      <c r="CG20" s="1" t="n">
        <v>80</v>
      </c>
      <c r="CH20" s="1" t="n">
        <v>4729.733</v>
      </c>
      <c r="CI20" s="1" t="n">
        <v>0.0058</v>
      </c>
      <c r="CJ20" s="1" t="n">
        <v>807011</v>
      </c>
      <c r="CK20" s="1" t="n">
        <v>0.9901</v>
      </c>
      <c r="CL20" s="1"/>
      <c r="CM20" s="1"/>
      <c r="CN20" s="2" t="n">
        <v>0.004300379</v>
      </c>
      <c r="CP20" s="1" t="s">
        <v>5</v>
      </c>
      <c r="CS20" s="1" t="n">
        <v>0.021239735</v>
      </c>
      <c r="CW20" s="1" t="n">
        <v>80</v>
      </c>
      <c r="CX20" s="1" t="n">
        <v>85</v>
      </c>
      <c r="CY20" s="1" t="n">
        <v>2878.755</v>
      </c>
      <c r="CZ20" s="1" t="n">
        <v>0.0031</v>
      </c>
      <c r="DA20" s="1" t="n">
        <v>920143.3</v>
      </c>
      <c r="DB20" s="1" t="n">
        <v>0.9987</v>
      </c>
      <c r="DD20" s="1" t="n">
        <v>80</v>
      </c>
      <c r="DE20" s="1" t="n">
        <v>85</v>
      </c>
      <c r="DF20" s="1" t="n">
        <v>2271.831</v>
      </c>
      <c r="DG20" s="1" t="n">
        <v>0.0141</v>
      </c>
      <c r="DH20" s="1" t="n">
        <v>147787.1</v>
      </c>
      <c r="DI20" s="1" t="n">
        <v>0.9169</v>
      </c>
      <c r="DJ20" s="1" t="n">
        <f aca="false">DF20/$DF$23</f>
        <v>0.015062877</v>
      </c>
      <c r="DK20" s="1" t="n">
        <f aca="false">DI20/SUM($DG$4:$DG$20)</f>
        <v>1.0001091</v>
      </c>
    </row>
    <row r="21" customFormat="false" ht="16" hidden="false" customHeight="true" outlineLevel="0" collapsed="false">
      <c r="A21" s="1" t="n">
        <v>72.5</v>
      </c>
      <c r="B21" s="1" t="n">
        <v>267</v>
      </c>
      <c r="C21" s="1" t="n">
        <v>536</v>
      </c>
      <c r="D21" s="1" t="n">
        <v>24320</v>
      </c>
      <c r="E21" s="1" t="n">
        <v>1596</v>
      </c>
      <c r="F21" s="1" t="n">
        <v>2242</v>
      </c>
      <c r="G21" s="1" t="n">
        <v>2805</v>
      </c>
      <c r="H21" s="1" t="n">
        <v>0</v>
      </c>
      <c r="I21" s="1" t="n">
        <v>1624</v>
      </c>
      <c r="J21" s="1" t="n">
        <v>405</v>
      </c>
      <c r="K21" s="1" t="n">
        <v>5020</v>
      </c>
      <c r="L21" s="1" t="n">
        <f aca="false">E21+F21+G21</f>
        <v>6643</v>
      </c>
      <c r="M21" s="1" t="n">
        <f aca="false">K21+I21+H21</f>
        <v>6644</v>
      </c>
      <c r="N21" s="1" t="n">
        <f aca="false">M21+B21+C21</f>
        <v>7447</v>
      </c>
      <c r="O21" s="1" t="n">
        <f aca="false">SUM(B21:L21)</f>
        <v>45458</v>
      </c>
      <c r="P21" s="1"/>
      <c r="Q21" s="1" t="n">
        <v>29</v>
      </c>
      <c r="R21" s="3" t="n">
        <f aca="false">B21</f>
        <v>267</v>
      </c>
      <c r="S21" s="3" t="n">
        <f aca="false">C21</f>
        <v>536</v>
      </c>
      <c r="T21" s="3" t="n">
        <f aca="false">D21</f>
        <v>24320</v>
      </c>
      <c r="U21" s="3" t="n">
        <f aca="false">E21</f>
        <v>1596</v>
      </c>
      <c r="V21" s="3" t="n">
        <f aca="false">F21</f>
        <v>2242</v>
      </c>
      <c r="W21" s="3" t="n">
        <f aca="false">G21</f>
        <v>2805</v>
      </c>
      <c r="X21" s="3" t="n">
        <f aca="false">H21</f>
        <v>0</v>
      </c>
      <c r="Y21" s="3" t="n">
        <f aca="false">I21</f>
        <v>1624</v>
      </c>
      <c r="Z21" s="3" t="n">
        <f aca="false">J21</f>
        <v>405</v>
      </c>
      <c r="AA21" s="3" t="n">
        <f aca="false">K21</f>
        <v>5020</v>
      </c>
      <c r="AB21" s="3" t="n">
        <f aca="false">L21</f>
        <v>6643</v>
      </c>
      <c r="AC21" s="3" t="n">
        <f aca="false">M21</f>
        <v>6644</v>
      </c>
      <c r="AD21" s="3" t="n">
        <f aca="false">N21</f>
        <v>7447</v>
      </c>
      <c r="AE21" s="3" t="n">
        <f aca="false">O21</f>
        <v>45458</v>
      </c>
      <c r="AF21" s="1" t="n">
        <f aca="false">AD21+Z21</f>
        <v>7852</v>
      </c>
      <c r="AG21" s="1" t="n">
        <f aca="false">AE21-AF21</f>
        <v>37606</v>
      </c>
      <c r="AH21" s="1"/>
      <c r="AI21" s="1"/>
      <c r="AJ21" s="1" t="n">
        <f aca="false">A21</f>
        <v>72.5</v>
      </c>
      <c r="AK21" s="2" t="n">
        <f aca="false">R21/R$27</f>
        <v>0.007034461</v>
      </c>
      <c r="AL21" s="2" t="n">
        <f aca="false">S21/S$27</f>
        <v>0.022768786</v>
      </c>
      <c r="AM21" s="2" t="n">
        <f aca="false">T21/T$27</f>
        <v>0.012989795</v>
      </c>
      <c r="AN21" s="2" t="n">
        <f aca="false">U21/U$27</f>
        <v>0.0092621609</v>
      </c>
      <c r="AO21" s="2" t="n">
        <f aca="false">V21/V$27</f>
        <v>0.033052734</v>
      </c>
      <c r="AP21" s="2" t="n">
        <f aca="false">W21/W$27</f>
        <v>0.010460524</v>
      </c>
      <c r="AQ21" s="2" t="n">
        <f aca="false">X21/X$27</f>
        <v>0</v>
      </c>
      <c r="AR21" s="2" t="n">
        <f aca="false">Y21/Y$27</f>
        <v>0.016989047</v>
      </c>
      <c r="AS21" s="2" t="n">
        <f aca="false">Z21/Z$27</f>
        <v>0.0031858908</v>
      </c>
      <c r="AT21" s="2" t="n">
        <f aca="false">AA21/AA$27</f>
        <v>0.022824926</v>
      </c>
      <c r="AU21" s="2" t="n">
        <f aca="false">AB21/AB$27</f>
        <v>0.013069157</v>
      </c>
      <c r="AV21" s="2" t="n">
        <f aca="false">AC21/AC$27</f>
        <v>0.01876269</v>
      </c>
      <c r="AW21" s="2" t="n">
        <f aca="false">AD21/AD$27</f>
        <v>0.017918499</v>
      </c>
      <c r="AX21" s="2" t="n">
        <f aca="false">AE21/AE$27</f>
        <v>0.013247044</v>
      </c>
      <c r="AY21" s="2" t="n">
        <f aca="false">AF21/AF$27</f>
        <v>0.014467679</v>
      </c>
      <c r="AZ21" s="2" t="n">
        <f aca="false">AG21/AG$27</f>
        <v>0.013017722</v>
      </c>
      <c r="BA21" s="1"/>
      <c r="BB21" s="2" t="n">
        <f aca="false">AK21+BB20</f>
        <v>0.96032248</v>
      </c>
      <c r="BC21" s="2" t="n">
        <f aca="false">AL21+BC20</f>
        <v>0.99307591</v>
      </c>
      <c r="BD21" s="2" t="n">
        <f aca="false">AM21+BD20</f>
        <v>0.98804052</v>
      </c>
      <c r="BE21" s="2" t="n">
        <f aca="false">AN21+BE20</f>
        <v>0.98356489</v>
      </c>
      <c r="BF21" s="2" t="n">
        <f aca="false">AO21+BF20</f>
        <v>0.96311421</v>
      </c>
      <c r="BG21" s="2" t="n">
        <f aca="false">AP21+BG20</f>
        <v>0.98051471</v>
      </c>
      <c r="BH21" s="2" t="n">
        <f aca="false">AQ21+BH20</f>
        <v>0.91301418</v>
      </c>
      <c r="BI21" s="2" t="n">
        <f aca="false">AR21+BI20</f>
        <v>0.96225586</v>
      </c>
      <c r="BJ21" s="2" t="n">
        <f aca="false">AS21+BJ20</f>
        <v>1</v>
      </c>
      <c r="BK21" s="2" t="n">
        <f aca="false">AT21+BK20</f>
        <v>0.97088685</v>
      </c>
      <c r="BL21" s="2" t="n">
        <f aca="false">AU21+BL20</f>
        <v>0.97922667</v>
      </c>
      <c r="BM21" s="2" t="n">
        <f aca="false">AV21+BM20</f>
        <v>0.96225152</v>
      </c>
      <c r="BN21" s="2" t="n">
        <f aca="false">AW21+BN20</f>
        <v>0.96382133</v>
      </c>
      <c r="BO21" s="2" t="n">
        <f aca="false">AX21+BO20</f>
        <v>0.98293924</v>
      </c>
      <c r="BP21" s="1"/>
      <c r="BQ21" s="1" t="n">
        <v>72.5</v>
      </c>
      <c r="BR21" s="2" t="n">
        <f aca="false">AX21</f>
        <v>0.013247044</v>
      </c>
      <c r="BS21" s="1" t="n">
        <f aca="false">LN(BR21)</f>
        <v>-4.3239808</v>
      </c>
      <c r="BT21" s="1" t="n">
        <f aca="false">BU21*BU21</f>
        <v>5256.25</v>
      </c>
      <c r="BU21" s="1" t="n">
        <f aca="false">BQ21</f>
        <v>72.5</v>
      </c>
      <c r="BV21" s="2" t="n">
        <f aca="false">SQRT(BQ21)</f>
        <v>8.5146932</v>
      </c>
      <c r="BW21" s="2" t="n">
        <f aca="false">EXP(+$CB$2+$CA$8*BU21+$CB$8*BV21)</f>
        <v>0.010246427</v>
      </c>
      <c r="BX21" s="2" t="n">
        <f aca="false">(BW21/$BW$26)</f>
        <v>0.01073103</v>
      </c>
      <c r="BY21" s="1"/>
      <c r="BZ21" s="1"/>
      <c r="CA21" s="1"/>
      <c r="CB21" s="1"/>
      <c r="CC21" s="1"/>
      <c r="CD21" s="1"/>
      <c r="CE21" s="1"/>
      <c r="CF21" s="1" t="n">
        <v>80</v>
      </c>
      <c r="CG21" s="1" t="n">
        <v>85</v>
      </c>
      <c r="CH21" s="1" t="n">
        <v>2979.044</v>
      </c>
      <c r="CI21" s="1" t="n">
        <v>0.0037</v>
      </c>
      <c r="CJ21" s="1" t="n">
        <v>809990</v>
      </c>
      <c r="CK21" s="1" t="n">
        <v>0.9938</v>
      </c>
      <c r="CL21" s="1"/>
      <c r="CM21" s="1"/>
      <c r="CN21" s="2" t="n">
        <v>0.0038912354</v>
      </c>
      <c r="CP21" s="1" t="s">
        <v>8</v>
      </c>
      <c r="CS21" s="1" t="n">
        <v>0.81894796</v>
      </c>
      <c r="CW21" s="1" t="n">
        <v>85</v>
      </c>
      <c r="CX21" s="1" t="n">
        <v>90</v>
      </c>
      <c r="CY21" s="1" t="n">
        <v>1049.249</v>
      </c>
      <c r="CZ21" s="1" t="n">
        <v>0.0011</v>
      </c>
      <c r="DA21" s="1" t="n">
        <v>921192.5</v>
      </c>
      <c r="DB21" s="1" t="n">
        <v>0.9998</v>
      </c>
      <c r="DD21" s="1" t="n">
        <v>85</v>
      </c>
      <c r="DE21" s="1" t="n">
        <v>90</v>
      </c>
      <c r="DF21" s="1" t="n">
        <v>1657.146</v>
      </c>
      <c r="DG21" s="1" t="n">
        <v>0.0103</v>
      </c>
      <c r="DH21" s="1" t="n">
        <v>149444.2</v>
      </c>
      <c r="DI21" s="1" t="n">
        <v>0.9272</v>
      </c>
      <c r="DJ21" s="1" t="n">
        <f aca="false">DF21/$DF$23</f>
        <v>0.010987343</v>
      </c>
    </row>
    <row r="22" customFormat="false" ht="16" hidden="false" customHeight="true" outlineLevel="0" collapsed="false">
      <c r="A22" s="1" t="n">
        <v>77.5</v>
      </c>
      <c r="B22" s="1" t="n">
        <v>674</v>
      </c>
      <c r="C22" s="1" t="n">
        <v>163</v>
      </c>
      <c r="D22" s="1" t="n">
        <v>6635</v>
      </c>
      <c r="E22" s="1" t="n">
        <v>376</v>
      </c>
      <c r="F22" s="1" t="n">
        <v>190</v>
      </c>
      <c r="G22" s="1" t="n">
        <v>796</v>
      </c>
      <c r="H22" s="1" t="n">
        <v>1945</v>
      </c>
      <c r="I22" s="1" t="n">
        <v>474</v>
      </c>
      <c r="J22" s="1"/>
      <c r="K22" s="1" t="n">
        <v>2142</v>
      </c>
      <c r="L22" s="1" t="n">
        <f aca="false">E22+F22+G22</f>
        <v>1362</v>
      </c>
      <c r="M22" s="1" t="n">
        <f aca="false">K22+I22+H22</f>
        <v>4561</v>
      </c>
      <c r="N22" s="1" t="n">
        <f aca="false">M22+B22+C22</f>
        <v>5398</v>
      </c>
      <c r="O22" s="1" t="n">
        <f aca="false">SUM(B22:L22)</f>
        <v>14757</v>
      </c>
      <c r="P22" s="1"/>
      <c r="Q22" s="1" t="n">
        <v>31</v>
      </c>
      <c r="R22" s="3" t="n">
        <f aca="false">B22</f>
        <v>674</v>
      </c>
      <c r="S22" s="3" t="n">
        <f aca="false">C22</f>
        <v>163</v>
      </c>
      <c r="T22" s="3" t="n">
        <f aca="false">D22</f>
        <v>6635</v>
      </c>
      <c r="U22" s="3" t="n">
        <f aca="false">E22</f>
        <v>376</v>
      </c>
      <c r="V22" s="3" t="n">
        <f aca="false">F22</f>
        <v>190</v>
      </c>
      <c r="W22" s="3" t="n">
        <f aca="false">G22</f>
        <v>796</v>
      </c>
      <c r="X22" s="3" t="n">
        <f aca="false">H22</f>
        <v>1945</v>
      </c>
      <c r="Y22" s="3" t="n">
        <f aca="false">I22</f>
        <v>474</v>
      </c>
      <c r="Z22" s="3" t="n">
        <f aca="false">J22</f>
        <v>0</v>
      </c>
      <c r="AA22" s="3" t="n">
        <f aca="false">K22</f>
        <v>2142</v>
      </c>
      <c r="AB22" s="3" t="n">
        <f aca="false">L22</f>
        <v>1362</v>
      </c>
      <c r="AC22" s="3" t="n">
        <f aca="false">M22</f>
        <v>4561</v>
      </c>
      <c r="AD22" s="3" t="n">
        <f aca="false">N22</f>
        <v>5398</v>
      </c>
      <c r="AE22" s="3" t="n">
        <f aca="false">O22</f>
        <v>14757</v>
      </c>
      <c r="AF22" s="1" t="n">
        <f aca="false">AD22+Z22</f>
        <v>5398</v>
      </c>
      <c r="AG22" s="1" t="n">
        <f aca="false">AE22-AF22</f>
        <v>9359</v>
      </c>
      <c r="AH22" s="1"/>
      <c r="AI22" s="1"/>
      <c r="AJ22" s="1" t="n">
        <f aca="false">A22</f>
        <v>77.5</v>
      </c>
      <c r="AK22" s="2" t="n">
        <f aca="false">R22/R$27</f>
        <v>0.017757403</v>
      </c>
      <c r="AL22" s="2" t="n">
        <f aca="false">S22/S$27</f>
        <v>0.0069240899</v>
      </c>
      <c r="AM22" s="2" t="n">
        <f aca="false">T22/T$27</f>
        <v>0.0035438852</v>
      </c>
      <c r="AN22" s="2" t="n">
        <f aca="false">U22/U$27</f>
        <v>0.002182063</v>
      </c>
      <c r="AO22" s="2" t="n">
        <f aca="false">V22/V$27</f>
        <v>0.0028010792</v>
      </c>
      <c r="AP22" s="2" t="n">
        <f aca="false">W22/W$27</f>
        <v>0.0029684767</v>
      </c>
      <c r="AQ22" s="2" t="n">
        <f aca="false">X22/X$27</f>
        <v>0.050413416</v>
      </c>
      <c r="AR22" s="2" t="n">
        <f aca="false">Y22/Y$27</f>
        <v>0.0049586258</v>
      </c>
      <c r="AS22" s="2" t="n">
        <f aca="false">Z22/Z$27</f>
        <v>0</v>
      </c>
      <c r="AT22" s="2" t="n">
        <f aca="false">AA22/AA$27</f>
        <v>0.0097392411</v>
      </c>
      <c r="AU22" s="2" t="n">
        <f aca="false">AB22/AB$27</f>
        <v>0.0026795411</v>
      </c>
      <c r="AV22" s="2" t="n">
        <f aca="false">AC22/AC$27</f>
        <v>0.012880288</v>
      </c>
      <c r="AW22" s="2" t="n">
        <f aca="false">AD22/AD$27</f>
        <v>0.012988325</v>
      </c>
      <c r="AX22" s="2" t="n">
        <f aca="false">AE22/AE$27</f>
        <v>0.004300379</v>
      </c>
      <c r="AY22" s="2" t="n">
        <f aca="false">AF22/AF$27</f>
        <v>0.0099460686</v>
      </c>
      <c r="AZ22" s="2" t="n">
        <f aca="false">AG22/AG$27</f>
        <v>0.0032397188</v>
      </c>
      <c r="BA22" s="1"/>
      <c r="BB22" s="2" t="n">
        <f aca="false">AK22+BB21</f>
        <v>0.97807988</v>
      </c>
      <c r="BC22" s="2" t="n">
        <f aca="false">AL22+BC21</f>
        <v>1</v>
      </c>
      <c r="BD22" s="2" t="n">
        <f aca="false">AM22+BD21</f>
        <v>0.99158441</v>
      </c>
      <c r="BE22" s="2" t="n">
        <f aca="false">AN22+BE21</f>
        <v>0.98574695</v>
      </c>
      <c r="BF22" s="2" t="n">
        <f aca="false">AO22+BF21</f>
        <v>0.96591529</v>
      </c>
      <c r="BG22" s="2" t="n">
        <f aca="false">AP22+BG21</f>
        <v>0.98348319</v>
      </c>
      <c r="BH22" s="2" t="n">
        <f aca="false">AQ22+BH21</f>
        <v>0.96342759</v>
      </c>
      <c r="BI22" s="2" t="n">
        <f aca="false">AR22+BI21</f>
        <v>0.96721449</v>
      </c>
      <c r="BJ22" s="2" t="n">
        <f aca="false">AS22+BJ21</f>
        <v>1</v>
      </c>
      <c r="BK22" s="2" t="n">
        <f aca="false">AT22+BK21</f>
        <v>0.98062609</v>
      </c>
      <c r="BL22" s="2" t="n">
        <f aca="false">AU22+BL21</f>
        <v>0.98190621</v>
      </c>
      <c r="BM22" s="2" t="n">
        <f aca="false">AV22+BM21</f>
        <v>0.97513181</v>
      </c>
      <c r="BN22" s="2" t="n">
        <f aca="false">AW22+BN21</f>
        <v>0.97680966</v>
      </c>
      <c r="BO22" s="2" t="n">
        <f aca="false">AX22+BO21</f>
        <v>0.98723962</v>
      </c>
      <c r="BP22" s="1"/>
      <c r="BQ22" s="1" t="n">
        <v>77.5</v>
      </c>
      <c r="BR22" s="2" t="n">
        <f aca="false">AX22</f>
        <v>0.004300379</v>
      </c>
      <c r="BS22" s="1" t="n">
        <f aca="false">LN(BR22)</f>
        <v>-5.4490521</v>
      </c>
      <c r="BT22" s="1" t="n">
        <f aca="false">BU22*BU22</f>
        <v>6006.25</v>
      </c>
      <c r="BU22" s="1" t="n">
        <f aca="false">BQ22</f>
        <v>77.5</v>
      </c>
      <c r="BV22" s="2" t="n">
        <f aca="false">SQRT(BQ22)</f>
        <v>8.8034084</v>
      </c>
      <c r="BW22" s="2" t="n">
        <f aca="false">EXP(+$CB$2+$CA$8*BU22+$CB$8*BV22)</f>
        <v>0.0075869888</v>
      </c>
      <c r="BX22" s="2" t="n">
        <f aca="false">(BW22/$BW$26)</f>
        <v>0.0079458136</v>
      </c>
      <c r="BY22" s="1"/>
      <c r="BZ22" s="1"/>
      <c r="CA22" s="1"/>
      <c r="CB22" s="1"/>
      <c r="CC22" s="1"/>
      <c r="CD22" s="1"/>
      <c r="CE22" s="1"/>
      <c r="CF22" s="1" t="n">
        <v>85</v>
      </c>
      <c r="CG22" s="1" t="n">
        <v>90</v>
      </c>
      <c r="CH22" s="1" t="n">
        <v>2879.243</v>
      </c>
      <c r="CI22" s="1" t="n">
        <v>0.0035</v>
      </c>
      <c r="CJ22" s="1" t="n">
        <v>812869.3</v>
      </c>
      <c r="CK22" s="1" t="n">
        <v>0.9973</v>
      </c>
      <c r="CL22" s="1"/>
      <c r="CM22" s="1"/>
      <c r="CN22" s="2" t="n">
        <v>0.0088691492</v>
      </c>
      <c r="CP22" s="1" t="s">
        <v>16</v>
      </c>
      <c r="CS22" s="1" t="n">
        <v>18</v>
      </c>
      <c r="CW22" s="1" t="n">
        <v>90</v>
      </c>
      <c r="CX22" s="1" t="n">
        <v>95</v>
      </c>
      <c r="CY22" s="1" t="n">
        <v>175.8255</v>
      </c>
      <c r="CZ22" s="1" t="n">
        <v>0.0002</v>
      </c>
      <c r="DA22" s="1" t="n">
        <v>921368.3</v>
      </c>
      <c r="DB22" s="1" t="n">
        <v>1</v>
      </c>
      <c r="DD22" s="1" t="n">
        <v>90</v>
      </c>
      <c r="DE22" s="1" t="n">
        <v>95</v>
      </c>
      <c r="DF22" s="1" t="n">
        <v>1378.958</v>
      </c>
      <c r="DG22" s="1" t="n">
        <v>0.0086</v>
      </c>
      <c r="DH22" s="1" t="n">
        <v>150823.2</v>
      </c>
      <c r="DI22" s="1" t="n">
        <v>0.9357</v>
      </c>
      <c r="DJ22" s="1" t="n">
        <f aca="false">DF22/$DF$23</f>
        <v>0.0091428787</v>
      </c>
    </row>
    <row r="23" customFormat="false" ht="16" hidden="false" customHeight="true" outlineLevel="0" collapsed="false">
      <c r="A23" s="1" t="n">
        <v>82.5</v>
      </c>
      <c r="B23" s="1" t="n">
        <v>756</v>
      </c>
      <c r="C23" s="1"/>
      <c r="D23" s="1" t="n">
        <v>2573</v>
      </c>
      <c r="E23" s="1" t="n">
        <v>693</v>
      </c>
      <c r="F23" s="1" t="n">
        <v>437</v>
      </c>
      <c r="G23" s="1" t="n">
        <v>942</v>
      </c>
      <c r="H23" s="1" t="n">
        <v>1411</v>
      </c>
      <c r="I23" s="1" t="n">
        <v>2413</v>
      </c>
      <c r="J23" s="1"/>
      <c r="K23" s="1" t="n">
        <v>2056</v>
      </c>
      <c r="L23" s="1" t="n">
        <f aca="false">E23+F23+G23</f>
        <v>2072</v>
      </c>
      <c r="M23" s="1" t="n">
        <f aca="false">K23+I23+H23</f>
        <v>5880</v>
      </c>
      <c r="N23" s="1" t="n">
        <f aca="false">M23+B23+C23</f>
        <v>6636</v>
      </c>
      <c r="O23" s="1" t="n">
        <f aca="false">SUM(B23:L23)</f>
        <v>13353</v>
      </c>
      <c r="P23" s="1"/>
      <c r="Q23" s="1" t="n">
        <v>33</v>
      </c>
      <c r="R23" s="3" t="n">
        <f aca="false">B23</f>
        <v>756</v>
      </c>
      <c r="S23" s="3" t="n">
        <f aca="false">C23</f>
        <v>0</v>
      </c>
      <c r="T23" s="3" t="n">
        <f aca="false">D23</f>
        <v>2573</v>
      </c>
      <c r="U23" s="3" t="n">
        <f aca="false">E23</f>
        <v>693</v>
      </c>
      <c r="V23" s="3" t="n">
        <f aca="false">F23</f>
        <v>437</v>
      </c>
      <c r="W23" s="3" t="n">
        <f aca="false">G23</f>
        <v>942</v>
      </c>
      <c r="X23" s="3" t="n">
        <f aca="false">H23</f>
        <v>1411</v>
      </c>
      <c r="Y23" s="3" t="n">
        <f aca="false">I23</f>
        <v>2413</v>
      </c>
      <c r="Z23" s="3" t="n">
        <f aca="false">J23</f>
        <v>0</v>
      </c>
      <c r="AA23" s="3" t="n">
        <f aca="false">K23</f>
        <v>2056</v>
      </c>
      <c r="AB23" s="3" t="n">
        <f aca="false">L23</f>
        <v>2072</v>
      </c>
      <c r="AC23" s="3" t="n">
        <f aca="false">M23</f>
        <v>5880</v>
      </c>
      <c r="AD23" s="3" t="n">
        <f aca="false">N23</f>
        <v>6636</v>
      </c>
      <c r="AE23" s="3" t="n">
        <f aca="false">O23</f>
        <v>13353</v>
      </c>
      <c r="AF23" s="1" t="n">
        <f aca="false">AD23+Z23</f>
        <v>6636</v>
      </c>
      <c r="AG23" s="1" t="n">
        <f aca="false">AE23-AF23</f>
        <v>6717</v>
      </c>
      <c r="AH23" s="1"/>
      <c r="AI23" s="1"/>
      <c r="AJ23" s="1" t="n">
        <f aca="false">A23</f>
        <v>82.5</v>
      </c>
      <c r="AK23" s="2" t="n">
        <f aca="false">R23/R$27</f>
        <v>0.0199178</v>
      </c>
      <c r="AL23" s="2" t="n">
        <f aca="false">S23/S$27</f>
        <v>0</v>
      </c>
      <c r="AM23" s="2" t="n">
        <f aca="false">T23/T$27</f>
        <v>0.0013742904</v>
      </c>
      <c r="AN23" s="2" t="n">
        <f aca="false">U23/U$27</f>
        <v>0.0040217278</v>
      </c>
      <c r="AO23" s="2" t="n">
        <f aca="false">V23/V$27</f>
        <v>0.0064424821</v>
      </c>
      <c r="AP23" s="2" t="n">
        <f aca="false">W23/W$27</f>
        <v>0.0035129461</v>
      </c>
      <c r="AQ23" s="2" t="n">
        <f aca="false">X23/X$27</f>
        <v>0.036572406</v>
      </c>
      <c r="AR23" s="2" t="n">
        <f aca="false">Y23/Y$27</f>
        <v>0.025242962</v>
      </c>
      <c r="AS23" s="2" t="n">
        <f aca="false">Z23/Z$27</f>
        <v>0</v>
      </c>
      <c r="AT23" s="2" t="n">
        <f aca="false">AA23/AA$27</f>
        <v>0.0093482165</v>
      </c>
      <c r="AU23" s="2" t="n">
        <f aca="false">AB23/AB$27</f>
        <v>0.004076365</v>
      </c>
      <c r="AV23" s="2" t="n">
        <f aca="false">AC23/AC$27</f>
        <v>0.01660515</v>
      </c>
      <c r="AW23" s="2" t="n">
        <f aca="false">AD23/AD$27</f>
        <v>0.015967123</v>
      </c>
      <c r="AX23" s="2" t="n">
        <f aca="false">AE23/AE$27</f>
        <v>0.0038912354</v>
      </c>
      <c r="AY23" s="2" t="n">
        <f aca="false">AF23/AF$27</f>
        <v>0.012227142</v>
      </c>
      <c r="AZ23" s="2" t="n">
        <f aca="false">AG23/AG$27</f>
        <v>0.002325162</v>
      </c>
      <c r="BA23" s="1"/>
      <c r="BB23" s="2" t="n">
        <f aca="false">AK23+BB22</f>
        <v>0.99799768</v>
      </c>
      <c r="BC23" s="2" t="n">
        <f aca="false">AL23+BC22</f>
        <v>1</v>
      </c>
      <c r="BD23" s="2" t="n">
        <f aca="false">AM23+BD22</f>
        <v>0.9929587</v>
      </c>
      <c r="BE23" s="2" t="n">
        <f aca="false">AN23+BE22</f>
        <v>0.98976868</v>
      </c>
      <c r="BF23" s="2" t="n">
        <f aca="false">AO23+BF22</f>
        <v>0.97235777</v>
      </c>
      <c r="BG23" s="2" t="n">
        <f aca="false">AP23+BG22</f>
        <v>0.98699613</v>
      </c>
      <c r="BH23" s="2" t="n">
        <f aca="false">AQ23+BH22</f>
        <v>1</v>
      </c>
      <c r="BI23" s="2" t="n">
        <f aca="false">AR23+BI22</f>
        <v>0.99245745</v>
      </c>
      <c r="BJ23" s="2" t="n">
        <f aca="false">AS23+BJ22</f>
        <v>1</v>
      </c>
      <c r="BK23" s="2" t="n">
        <f aca="false">AT23+BK22</f>
        <v>0.98997431</v>
      </c>
      <c r="BL23" s="2" t="n">
        <f aca="false">AU23+BL22</f>
        <v>0.98598258</v>
      </c>
      <c r="BM23" s="2" t="n">
        <f aca="false">AV23+BM22</f>
        <v>0.99173696</v>
      </c>
      <c r="BN23" s="2" t="n">
        <f aca="false">AW23+BN22</f>
        <v>0.99277678</v>
      </c>
      <c r="BO23" s="2" t="n">
        <f aca="false">AX23+BO22</f>
        <v>0.99113085</v>
      </c>
      <c r="BP23" s="1"/>
      <c r="BQ23" s="1" t="n">
        <v>82.5</v>
      </c>
      <c r="BR23" s="2" t="n">
        <f aca="false">AX23</f>
        <v>0.0038912354</v>
      </c>
      <c r="BS23" s="1" t="n">
        <f aca="false">LN(BR23)</f>
        <v>-5.5490286</v>
      </c>
      <c r="BT23" s="1" t="n">
        <f aca="false">BU23*BU23</f>
        <v>6806.25</v>
      </c>
      <c r="BU23" s="1" t="n">
        <f aca="false">BQ23</f>
        <v>82.5</v>
      </c>
      <c r="BV23" s="2" t="n">
        <f aca="false">SQRT(BQ23)</f>
        <v>9.0829511</v>
      </c>
      <c r="BW23" s="2" t="n">
        <f aca="false">EXP(+$CB$2+$CA$8*BU23+$CB$8*BV23)</f>
        <v>0.0055782347</v>
      </c>
      <c r="BX23" s="2" t="n">
        <f aca="false">(BW23/$BW$26)</f>
        <v>0.0058420559</v>
      </c>
      <c r="CF23" s="1" t="n">
        <v>90</v>
      </c>
      <c r="CG23" s="1" t="n">
        <v>95</v>
      </c>
      <c r="CH23" s="1" t="n">
        <v>1065.175</v>
      </c>
      <c r="CI23" s="1" t="n">
        <v>0.0013</v>
      </c>
      <c r="CJ23" s="1" t="n">
        <v>813934.5</v>
      </c>
      <c r="CK23" s="1" t="n">
        <v>0.9986</v>
      </c>
      <c r="CP23" s="1" t="s">
        <v>41</v>
      </c>
      <c r="CS23" s="1" t="n">
        <v>16</v>
      </c>
      <c r="CW23" s="1" t="n">
        <v>95</v>
      </c>
      <c r="CX23" s="1" t="n">
        <v>100</v>
      </c>
      <c r="CY23" s="1" t="n">
        <v>0</v>
      </c>
      <c r="CZ23" s="1" t="n">
        <v>0</v>
      </c>
      <c r="DA23" s="1" t="n">
        <v>921368.3</v>
      </c>
      <c r="DB23" s="1" t="n">
        <v>1</v>
      </c>
      <c r="DF23" s="1" t="n">
        <f aca="false">SUM(DF1:DF22)</f>
        <v>150823.17</v>
      </c>
    </row>
    <row r="24" customFormat="false" ht="16" hidden="false" customHeight="true" outlineLevel="0" collapsed="false">
      <c r="A24" s="1" t="n">
        <v>87.5</v>
      </c>
      <c r="B24" s="1" t="n">
        <v>76</v>
      </c>
      <c r="C24" s="1"/>
      <c r="D24" s="1" t="n">
        <v>13183</v>
      </c>
      <c r="E24" s="1" t="n">
        <v>1763</v>
      </c>
      <c r="F24" s="1" t="n">
        <v>1875</v>
      </c>
      <c r="G24" s="1" t="n">
        <v>3487</v>
      </c>
      <c r="H24" s="1" t="n">
        <v>0</v>
      </c>
      <c r="I24" s="1" t="n">
        <v>721</v>
      </c>
      <c r="J24" s="1"/>
      <c r="K24" s="1" t="n">
        <v>2205</v>
      </c>
      <c r="L24" s="1" t="n">
        <f aca="false">E24+F24+G24</f>
        <v>7125</v>
      </c>
      <c r="M24" s="1" t="n">
        <f aca="false">K24+I24+H24</f>
        <v>2926</v>
      </c>
      <c r="N24" s="1" t="n">
        <f aca="false">M24+B24+C24</f>
        <v>3002</v>
      </c>
      <c r="O24" s="1" t="n">
        <f aca="false">SUM(B24:L24)</f>
        <v>30435</v>
      </c>
      <c r="P24" s="1"/>
      <c r="Q24" s="1" t="n">
        <v>35</v>
      </c>
      <c r="R24" s="3" t="n">
        <f aca="false">B24</f>
        <v>76</v>
      </c>
      <c r="S24" s="3" t="n">
        <f aca="false">C24</f>
        <v>0</v>
      </c>
      <c r="T24" s="3" t="n">
        <f aca="false">D24</f>
        <v>13183</v>
      </c>
      <c r="U24" s="3" t="n">
        <f aca="false">E24</f>
        <v>1763</v>
      </c>
      <c r="V24" s="3" t="n">
        <f aca="false">F24</f>
        <v>1875</v>
      </c>
      <c r="W24" s="3" t="n">
        <f aca="false">G24</f>
        <v>3487</v>
      </c>
      <c r="X24" s="3" t="n">
        <f aca="false">H24</f>
        <v>0</v>
      </c>
      <c r="Y24" s="3" t="n">
        <f aca="false">I24</f>
        <v>721</v>
      </c>
      <c r="Z24" s="3" t="n">
        <f aca="false">J24</f>
        <v>0</v>
      </c>
      <c r="AA24" s="3" t="n">
        <f aca="false">K24</f>
        <v>2205</v>
      </c>
      <c r="AB24" s="3" t="n">
        <f aca="false">L24</f>
        <v>7125</v>
      </c>
      <c r="AC24" s="3" t="n">
        <f aca="false">M24</f>
        <v>2926</v>
      </c>
      <c r="AD24" s="3" t="n">
        <f aca="false">N24</f>
        <v>3002</v>
      </c>
      <c r="AE24" s="3" t="n">
        <f aca="false">O24</f>
        <v>30435</v>
      </c>
      <c r="AF24" s="1" t="n">
        <f aca="false">AD24+Z24</f>
        <v>3002</v>
      </c>
      <c r="AG24" s="1" t="n">
        <f aca="false">AE24-AF24</f>
        <v>27433</v>
      </c>
      <c r="AH24" s="1"/>
      <c r="AI24" s="1"/>
      <c r="AJ24" s="1" t="n">
        <f aca="false">A24</f>
        <v>87.5</v>
      </c>
      <c r="AK24" s="2" t="n">
        <f aca="false">R24/R$27</f>
        <v>0.0020023185</v>
      </c>
      <c r="AL24" s="2" t="n">
        <f aca="false">S24/S$27</f>
        <v>0</v>
      </c>
      <c r="AM24" s="2" t="n">
        <f aca="false">T24/T$27</f>
        <v>0.0070413019</v>
      </c>
      <c r="AN24" s="2" t="n">
        <f aca="false">U24/U$27</f>
        <v>0.010231322</v>
      </c>
      <c r="AO24" s="2" t="n">
        <f aca="false">V24/V$27</f>
        <v>0.027642228</v>
      </c>
      <c r="AP24" s="2" t="n">
        <f aca="false">W24/W$27</f>
        <v>0.013003867</v>
      </c>
      <c r="AQ24" s="2" t="n">
        <f aca="false">X24/X$27</f>
        <v>0</v>
      </c>
      <c r="AR24" s="2" t="n">
        <f aca="false">Y24/Y$27</f>
        <v>0.0075425511</v>
      </c>
      <c r="AS24" s="2" t="n">
        <f aca="false">Z24/Z$27</f>
        <v>0</v>
      </c>
      <c r="AT24" s="2" t="n">
        <f aca="false">AA24/AA$27</f>
        <v>0.010025689</v>
      </c>
      <c r="AU24" s="2" t="n">
        <f aca="false">AB24/AB$27</f>
        <v>0.014017423</v>
      </c>
      <c r="AV24" s="2" t="n">
        <f aca="false">AC24/AC$27</f>
        <v>0.0082630391</v>
      </c>
      <c r="AW24" s="2" t="n">
        <f aca="false">AD24/AD$27</f>
        <v>0.0072232221</v>
      </c>
      <c r="AX24" s="2" t="n">
        <f aca="false">AE24/AE$27</f>
        <v>0.0088691492</v>
      </c>
      <c r="AY24" s="2" t="n">
        <f aca="false">AF24/AF$27</f>
        <v>0.0055313261</v>
      </c>
      <c r="AZ24" s="2" t="n">
        <f aca="false">AG24/AG$27</f>
        <v>0.0094962288</v>
      </c>
      <c r="BA24" s="1"/>
      <c r="BB24" s="2" t="n">
        <f aca="false">AK24+BB23</f>
        <v>1</v>
      </c>
      <c r="BC24" s="2" t="n">
        <f aca="false">AL24+BC23</f>
        <v>1</v>
      </c>
      <c r="BD24" s="2" t="n">
        <f aca="false">AM24+BD23</f>
        <v>1</v>
      </c>
      <c r="BE24" s="2" t="n">
        <f aca="false">AN24+BE23</f>
        <v>1</v>
      </c>
      <c r="BF24" s="2" t="n">
        <f aca="false">AO24+BF23</f>
        <v>1</v>
      </c>
      <c r="BG24" s="2" t="n">
        <f aca="false">AP24+BG23</f>
        <v>1</v>
      </c>
      <c r="BH24" s="2" t="n">
        <f aca="false">AQ24+BH23</f>
        <v>1</v>
      </c>
      <c r="BI24" s="2" t="n">
        <f aca="false">AR24+BI23</f>
        <v>1</v>
      </c>
      <c r="BJ24" s="2" t="n">
        <f aca="false">AS24+BJ23</f>
        <v>1</v>
      </c>
      <c r="BK24" s="2" t="n">
        <f aca="false">AT24+BK23</f>
        <v>1</v>
      </c>
      <c r="BL24" s="2" t="n">
        <f aca="false">AU24+BL23</f>
        <v>1</v>
      </c>
      <c r="BM24" s="2" t="n">
        <f aca="false">AV24+BM23</f>
        <v>1</v>
      </c>
      <c r="BN24" s="2" t="n">
        <f aca="false">AW24+BN23</f>
        <v>1</v>
      </c>
      <c r="BO24" s="2" t="n">
        <f aca="false">AX24+BO23</f>
        <v>1</v>
      </c>
      <c r="BP24" s="1"/>
      <c r="BQ24" s="1" t="n">
        <v>87.5</v>
      </c>
      <c r="BR24" s="2" t="n">
        <f aca="false">AX24</f>
        <v>0.0088691492</v>
      </c>
      <c r="BS24" s="1" t="n">
        <f aca="false">LN(BR24)</f>
        <v>-4.7251764</v>
      </c>
      <c r="BT24" s="1" t="n">
        <f aca="false">BU24*BU24</f>
        <v>7656.25</v>
      </c>
      <c r="BU24" s="1" t="n">
        <f aca="false">BQ24</f>
        <v>87.5</v>
      </c>
      <c r="BV24" s="2" t="n">
        <f aca="false">SQRT(BQ24)</f>
        <v>9.3541435</v>
      </c>
      <c r="BW24" s="2" t="n">
        <f aca="false">EXP(+$CB$2+$CA$8*BU24+$CB$8*BV24)</f>
        <v>0.0040750196</v>
      </c>
      <c r="BX24" s="2" t="n">
        <f aca="false">(BW24/$BW$26)</f>
        <v>0.0042677467</v>
      </c>
      <c r="CF24" s="1" t="n">
        <v>95</v>
      </c>
      <c r="CG24" s="1" t="n">
        <v>100</v>
      </c>
      <c r="CH24" s="1" t="n">
        <v>742.0578</v>
      </c>
      <c r="CI24" s="1" t="n">
        <v>0.0009</v>
      </c>
      <c r="CJ24" s="1" t="n">
        <v>814676.5</v>
      </c>
      <c r="CK24" s="1" t="n">
        <v>0.9995</v>
      </c>
      <c r="CW24" s="1" t="n">
        <v>100</v>
      </c>
      <c r="CX24" s="1" t="n">
        <v>105</v>
      </c>
      <c r="CY24" s="1" t="n">
        <v>0</v>
      </c>
      <c r="CZ24" s="1" t="n">
        <v>0</v>
      </c>
      <c r="DA24" s="1" t="n">
        <v>921368.3</v>
      </c>
      <c r="DB24" s="1" t="n">
        <v>1</v>
      </c>
    </row>
    <row r="25" customFormat="false" ht="16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2"/>
      <c r="BW25" s="2"/>
      <c r="BX25" s="2"/>
      <c r="CP25" s="1" t="s">
        <v>42</v>
      </c>
      <c r="CR25" s="1" t="n">
        <v>0.91953814</v>
      </c>
      <c r="CW25" s="1" t="n">
        <v>105</v>
      </c>
      <c r="CX25" s="1" t="n">
        <v>110</v>
      </c>
      <c r="CY25" s="1" t="n">
        <v>0</v>
      </c>
      <c r="CZ25" s="1" t="n">
        <v>0</v>
      </c>
      <c r="DA25" s="1" t="n">
        <v>921368.3</v>
      </c>
      <c r="DB25" s="1" t="n">
        <v>1</v>
      </c>
      <c r="DD25" s="1" t="n">
        <v>95</v>
      </c>
      <c r="DE25" s="1" t="n">
        <v>100</v>
      </c>
      <c r="DF25" s="1" t="n">
        <v>1306.615</v>
      </c>
      <c r="DG25" s="1" t="n">
        <v>0.0081</v>
      </c>
      <c r="DH25" s="1" t="n">
        <v>152129.8</v>
      </c>
      <c r="DI25" s="1" t="n">
        <v>0.9439</v>
      </c>
    </row>
    <row r="26" customFormat="false" ht="16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 t="n">
        <f aca="false">SUM(BR7:BR24)</f>
        <v>1</v>
      </c>
      <c r="BS26" s="1"/>
      <c r="BT26" s="1"/>
      <c r="BU26" s="1"/>
      <c r="BV26" s="2"/>
      <c r="BW26" s="2" t="n">
        <f aca="false">SUM(BW7:BW24)</f>
        <v>0.95484102</v>
      </c>
      <c r="BX26" s="2" t="n">
        <f aca="false">SUM(BX7:BX24)</f>
        <v>1</v>
      </c>
      <c r="CP26" s="1" t="s">
        <v>43</v>
      </c>
      <c r="CR26" s="1" t="n">
        <v>0.10808945</v>
      </c>
      <c r="CW26" s="1" t="n">
        <v>110</v>
      </c>
      <c r="CX26" s="1" t="n">
        <v>115</v>
      </c>
      <c r="CY26" s="1" t="n">
        <v>0</v>
      </c>
      <c r="CZ26" s="1" t="n">
        <v>0</v>
      </c>
      <c r="DA26" s="1" t="n">
        <v>921368.3</v>
      </c>
      <c r="DB26" s="1" t="n">
        <v>1</v>
      </c>
      <c r="DD26" s="1" t="n">
        <v>100</v>
      </c>
      <c r="DE26" s="1" t="n">
        <v>105</v>
      </c>
      <c r="DF26" s="1" t="n">
        <v>1009.68</v>
      </c>
      <c r="DG26" s="1" t="n">
        <v>0.0063</v>
      </c>
      <c r="DH26" s="1" t="n">
        <v>153139.5</v>
      </c>
      <c r="DI26" s="1" t="n">
        <v>0.9501</v>
      </c>
    </row>
    <row r="27" customFormat="false" ht="16" hidden="false" customHeight="true" outlineLevel="0" collapsed="false">
      <c r="A27" s="1"/>
      <c r="B27" s="1" t="n">
        <f aca="false">SUM(B7:B26)</f>
        <v>37956</v>
      </c>
      <c r="C27" s="1" t="n">
        <f aca="false">SUM(C7:C26)</f>
        <v>23541</v>
      </c>
      <c r="D27" s="1" t="n">
        <f aca="false">SUM(D7:D26)</f>
        <v>1872239</v>
      </c>
      <c r="E27" s="1" t="n">
        <f aca="false">SUM(E7:E26)</f>
        <v>172314</v>
      </c>
      <c r="F27" s="1" t="n">
        <f aca="false">SUM(F7:F26)</f>
        <v>67831</v>
      </c>
      <c r="G27" s="1" t="n">
        <f aca="false">SUM(G7:G26)</f>
        <v>268151</v>
      </c>
      <c r="H27" s="1" t="n">
        <f aca="false">SUM(H7:H26)</f>
        <v>38581</v>
      </c>
      <c r="I27" s="1" t="n">
        <f aca="false">SUM(I7:I26)</f>
        <v>95591</v>
      </c>
      <c r="J27" s="1" t="n">
        <f aca="false">SUM(J7:J26)</f>
        <v>127123</v>
      </c>
      <c r="K27" s="1" t="n">
        <f aca="false">SUM(K7:K26)</f>
        <v>219935</v>
      </c>
      <c r="L27" s="1" t="n">
        <f aca="false">SUM(L7:L26)</f>
        <v>508296</v>
      </c>
      <c r="M27" s="1" t="n">
        <f aca="false">SUM(M7:M26)</f>
        <v>354107</v>
      </c>
      <c r="N27" s="1" t="n">
        <f aca="false">SUM(N7:N26)</f>
        <v>415604</v>
      </c>
      <c r="O27" s="1" t="n">
        <f aca="false">SUM(O7:O26)</f>
        <v>3431558</v>
      </c>
      <c r="P27" s="1"/>
      <c r="Q27" s="1"/>
      <c r="R27" s="1" t="n">
        <f aca="false">SUM(R7:R26)</f>
        <v>37956</v>
      </c>
      <c r="S27" s="1" t="n">
        <f aca="false">SUM(S7:S26)</f>
        <v>23541</v>
      </c>
      <c r="T27" s="1" t="n">
        <f aca="false">SUM(T7:T26)</f>
        <v>1872239</v>
      </c>
      <c r="U27" s="1" t="n">
        <f aca="false">SUM(U7:U26)</f>
        <v>172314</v>
      </c>
      <c r="V27" s="1" t="n">
        <f aca="false">SUM(V7:V26)</f>
        <v>67831</v>
      </c>
      <c r="W27" s="1" t="n">
        <f aca="false">SUM(W7:W26)</f>
        <v>268151</v>
      </c>
      <c r="X27" s="1" t="n">
        <f aca="false">SUM(X7:X26)</f>
        <v>38581</v>
      </c>
      <c r="Y27" s="1" t="n">
        <f aca="false">SUM(Y7:Y26)</f>
        <v>95591</v>
      </c>
      <c r="Z27" s="1" t="n">
        <f aca="false">SUM(Z7:Z26)</f>
        <v>127123</v>
      </c>
      <c r="AA27" s="1" t="n">
        <f aca="false">SUM(AA7:AA26)</f>
        <v>219935</v>
      </c>
      <c r="AB27" s="1" t="n">
        <f aca="false">SUM(AB7:AB26)</f>
        <v>508296</v>
      </c>
      <c r="AC27" s="1" t="n">
        <f aca="false">SUM(AC7:AC26)</f>
        <v>354107</v>
      </c>
      <c r="AD27" s="1" t="n">
        <f aca="false">SUM(AD7:AD26)</f>
        <v>415604</v>
      </c>
      <c r="AE27" s="1" t="n">
        <f aca="false">SUM(AE7:AE26)</f>
        <v>3431558</v>
      </c>
      <c r="AF27" s="1" t="n">
        <f aca="false">SUM(AF7:AF26)</f>
        <v>542727</v>
      </c>
      <c r="AG27" s="1" t="n">
        <f aca="false">SUM(AG7:AG26)</f>
        <v>2888831</v>
      </c>
      <c r="AH27" s="1"/>
      <c r="AI27" s="1"/>
      <c r="AJ27" s="1"/>
      <c r="AK27" s="1" t="n">
        <f aca="false">SUM(AK7:AK26)</f>
        <v>1</v>
      </c>
      <c r="AL27" s="1" t="n">
        <f aca="false">SUM(AL7:AL26)</f>
        <v>1</v>
      </c>
      <c r="AM27" s="1" t="n">
        <f aca="false">SUM(AM7:AM26)</f>
        <v>1</v>
      </c>
      <c r="AN27" s="1" t="n">
        <f aca="false">SUM(AN7:AN26)</f>
        <v>1</v>
      </c>
      <c r="AO27" s="1" t="n">
        <f aca="false">SUM(AO7:AO26)</f>
        <v>1</v>
      </c>
      <c r="AP27" s="1" t="n">
        <f aca="false">SUM(AP7:AP26)</f>
        <v>1</v>
      </c>
      <c r="AQ27" s="1" t="n">
        <f aca="false">SUM(AQ7:AQ26)</f>
        <v>1</v>
      </c>
      <c r="AR27" s="1" t="n">
        <f aca="false">SUM(AR7:AR26)</f>
        <v>1</v>
      </c>
      <c r="AS27" s="1" t="n">
        <f aca="false">SUM(AS7:AS26)</f>
        <v>1</v>
      </c>
      <c r="AT27" s="1" t="n">
        <f aca="false">SUM(AT7:AT26)</f>
        <v>1</v>
      </c>
      <c r="AU27" s="1" t="n">
        <f aca="false">SUM(AU7:AU26)</f>
        <v>1</v>
      </c>
      <c r="AV27" s="1" t="n">
        <f aca="false">SUM(AV7:AV26)</f>
        <v>1</v>
      </c>
      <c r="AW27" s="1" t="n">
        <f aca="false">SUM(AW7:AW26)</f>
        <v>1</v>
      </c>
      <c r="AX27" s="1" t="n">
        <f aca="false">SUM(AX7:AX26)</f>
        <v>1</v>
      </c>
      <c r="AY27" s="1" t="n">
        <f aca="false">SUM(AY7:AY26)</f>
        <v>1</v>
      </c>
      <c r="AZ27" s="1" t="n">
        <f aca="false">SUM(AZ7:AZ26)</f>
        <v>1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2"/>
      <c r="BW27" s="2"/>
      <c r="BX27" s="2"/>
      <c r="CW27" s="1" t="n">
        <v>115</v>
      </c>
      <c r="CX27" s="1" t="n">
        <v>120</v>
      </c>
      <c r="CY27" s="1" t="n">
        <v>0</v>
      </c>
      <c r="CZ27" s="1" t="n">
        <v>0</v>
      </c>
      <c r="DA27" s="1" t="n">
        <v>921368.3</v>
      </c>
      <c r="DB27" s="1" t="n">
        <v>1</v>
      </c>
      <c r="DD27" s="1" t="n">
        <v>105</v>
      </c>
      <c r="DE27" s="1" t="n">
        <v>110</v>
      </c>
      <c r="DF27" s="1" t="n">
        <v>834.1803</v>
      </c>
      <c r="DG27" s="1" t="n">
        <v>0.0052</v>
      </c>
      <c r="DH27" s="1" t="n">
        <v>153973.7</v>
      </c>
      <c r="DI27" s="1" t="n">
        <v>0.9553</v>
      </c>
    </row>
    <row r="28" customFormat="false" ht="16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2"/>
      <c r="BW28" s="2"/>
      <c r="BX28" s="2"/>
      <c r="CW28" s="1" t="n">
        <v>120</v>
      </c>
      <c r="CX28" s="1" t="n">
        <v>125</v>
      </c>
      <c r="CY28" s="1" t="n">
        <v>0</v>
      </c>
      <c r="CZ28" s="1" t="n">
        <v>0</v>
      </c>
      <c r="DA28" s="1" t="n">
        <v>921368.3</v>
      </c>
      <c r="DB28" s="1" t="n">
        <v>1</v>
      </c>
      <c r="DD28" s="1" t="n">
        <v>110</v>
      </c>
      <c r="DE28" s="1" t="n">
        <v>115</v>
      </c>
      <c r="DF28" s="1" t="n">
        <v>808.5168</v>
      </c>
      <c r="DG28" s="1" t="n">
        <v>0.005</v>
      </c>
      <c r="DH28" s="1" t="n">
        <v>154782.2</v>
      </c>
      <c r="DI28" s="1" t="n">
        <v>0.9603</v>
      </c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2"/>
      <c r="BW29" s="2"/>
      <c r="BX29" s="2"/>
      <c r="CW29" s="1" t="n">
        <v>125</v>
      </c>
      <c r="CX29" s="1" t="n">
        <v>130</v>
      </c>
      <c r="CY29" s="1" t="n">
        <v>0</v>
      </c>
      <c r="CZ29" s="1" t="n">
        <v>0</v>
      </c>
      <c r="DA29" s="1" t="n">
        <v>921368.3</v>
      </c>
      <c r="DB29" s="1" t="n">
        <v>1</v>
      </c>
      <c r="DD29" s="1" t="n">
        <v>115</v>
      </c>
      <c r="DE29" s="1" t="n">
        <v>120</v>
      </c>
      <c r="DF29" s="1" t="n">
        <v>695.2113</v>
      </c>
      <c r="DG29" s="1" t="n">
        <v>0.0043</v>
      </c>
      <c r="DH29" s="1" t="n">
        <v>155477.4</v>
      </c>
      <c r="DI29" s="1" t="n">
        <v>0.9646</v>
      </c>
    </row>
    <row r="30" customFormat="false" ht="16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2"/>
      <c r="BW30" s="2"/>
      <c r="BX30" s="2"/>
      <c r="CW30" s="1" t="n">
        <v>130</v>
      </c>
      <c r="CX30" s="1" t="n">
        <v>135</v>
      </c>
      <c r="CY30" s="1" t="n">
        <v>0</v>
      </c>
      <c r="CZ30" s="1" t="n">
        <v>0</v>
      </c>
      <c r="DA30" s="1" t="n">
        <v>921368.3</v>
      </c>
      <c r="DB30" s="1" t="n">
        <v>1</v>
      </c>
      <c r="DD30" s="1" t="n">
        <v>120</v>
      </c>
      <c r="DE30" s="1" t="n">
        <v>125</v>
      </c>
      <c r="DF30" s="1" t="n">
        <v>583.8037</v>
      </c>
      <c r="DG30" s="1" t="n">
        <v>0.0036</v>
      </c>
      <c r="DH30" s="1" t="n">
        <v>156061.2</v>
      </c>
      <c r="DI30" s="1" t="n">
        <v>0.9682</v>
      </c>
    </row>
    <row r="31" customFormat="false" ht="16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2"/>
      <c r="BW31" s="2"/>
      <c r="BX31" s="2"/>
      <c r="CW31" s="1" t="n">
        <v>135</v>
      </c>
      <c r="CX31" s="1" t="n">
        <v>140</v>
      </c>
      <c r="CY31" s="1" t="n">
        <v>0</v>
      </c>
      <c r="CZ31" s="1" t="n">
        <v>0</v>
      </c>
      <c r="DA31" s="1" t="n">
        <v>921368.3</v>
      </c>
      <c r="DB31" s="1" t="n">
        <v>1</v>
      </c>
      <c r="DD31" s="1" t="n">
        <v>125</v>
      </c>
      <c r="DE31" s="1" t="n">
        <v>130</v>
      </c>
      <c r="DF31" s="1" t="n">
        <v>548.5765</v>
      </c>
      <c r="DG31" s="1" t="n">
        <v>0.0034</v>
      </c>
      <c r="DH31" s="1" t="n">
        <v>156609.8</v>
      </c>
      <c r="DI31" s="1" t="n">
        <v>0.9716</v>
      </c>
    </row>
    <row r="32" customFormat="false" ht="16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2"/>
      <c r="BW32" s="2"/>
      <c r="BX32" s="2"/>
      <c r="CW32" s="1" t="n">
        <v>140</v>
      </c>
      <c r="CX32" s="1" t="n">
        <v>145</v>
      </c>
      <c r="CY32" s="1" t="n">
        <v>0</v>
      </c>
      <c r="CZ32" s="1" t="n">
        <v>0</v>
      </c>
      <c r="DA32" s="1" t="n">
        <v>921368.3</v>
      </c>
      <c r="DB32" s="1" t="n">
        <v>1</v>
      </c>
      <c r="DD32" s="1" t="n">
        <v>130</v>
      </c>
      <c r="DE32" s="1" t="n">
        <v>135</v>
      </c>
      <c r="DF32" s="1" t="n">
        <v>457.3862</v>
      </c>
      <c r="DG32" s="1" t="n">
        <v>0.0028</v>
      </c>
      <c r="DH32" s="1" t="n">
        <v>157067.2</v>
      </c>
      <c r="DI32" s="1" t="n">
        <v>0.9745</v>
      </c>
    </row>
    <row r="33" customFormat="false" ht="16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2"/>
      <c r="BW33" s="2"/>
      <c r="BX33" s="2"/>
      <c r="CW33" s="1" t="n">
        <v>145</v>
      </c>
      <c r="CX33" s="1" t="n">
        <v>150</v>
      </c>
      <c r="CY33" s="1" t="n">
        <v>0</v>
      </c>
      <c r="CZ33" s="1" t="n">
        <v>0</v>
      </c>
      <c r="DA33" s="1" t="n">
        <v>921368.3</v>
      </c>
      <c r="DB33" s="1" t="n">
        <v>1</v>
      </c>
      <c r="DD33" s="1" t="n">
        <v>135</v>
      </c>
      <c r="DE33" s="1" t="n">
        <v>140</v>
      </c>
      <c r="DF33" s="1" t="n">
        <v>486.8046</v>
      </c>
      <c r="DG33" s="1" t="n">
        <v>0.003</v>
      </c>
      <c r="DH33" s="1" t="n">
        <v>157554</v>
      </c>
      <c r="DI33" s="1" t="n">
        <v>0.9775</v>
      </c>
    </row>
    <row r="34" customFormat="false" ht="1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2"/>
      <c r="BW34" s="2"/>
      <c r="BX34" s="2"/>
      <c r="DD34" s="1" t="n">
        <v>140</v>
      </c>
      <c r="DE34" s="1" t="n">
        <v>145</v>
      </c>
      <c r="DF34" s="1" t="n">
        <v>319.9586</v>
      </c>
      <c r="DG34" s="1" t="n">
        <v>0.002</v>
      </c>
      <c r="DH34" s="1" t="n">
        <v>157873.9</v>
      </c>
      <c r="DI34" s="1" t="n">
        <v>0.9795</v>
      </c>
    </row>
    <row r="35" customFormat="false" ht="16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2"/>
      <c r="BW35" s="2"/>
      <c r="BX35" s="2"/>
      <c r="DD35" s="1" t="n">
        <v>145</v>
      </c>
      <c r="DE35" s="1" t="n">
        <v>150</v>
      </c>
      <c r="DF35" s="1" t="n">
        <v>378.9738</v>
      </c>
      <c r="DG35" s="1" t="n">
        <v>0.0024</v>
      </c>
      <c r="DH35" s="1" t="n">
        <v>158252.9</v>
      </c>
      <c r="DI35" s="1" t="n">
        <v>0.9818</v>
      </c>
    </row>
    <row r="36" customFormat="false" ht="16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2"/>
      <c r="BW36" s="2"/>
      <c r="BX36" s="2"/>
    </row>
    <row r="37" customFormat="false" ht="16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2"/>
      <c r="BW37" s="2"/>
      <c r="BX37" s="2"/>
    </row>
    <row r="38" customFormat="false" ht="16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2"/>
      <c r="BW38" s="2"/>
      <c r="BX38" s="2"/>
    </row>
    <row r="39" customFormat="false" ht="16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2"/>
      <c r="BW39" s="2"/>
      <c r="BX39" s="2"/>
    </row>
    <row r="40" customFormat="false" ht="1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2"/>
      <c r="BW40" s="2"/>
      <c r="BX40" s="2"/>
    </row>
    <row r="41" customFormat="false" ht="16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2"/>
      <c r="BW41" s="2"/>
      <c r="BX41" s="2"/>
    </row>
    <row r="42" customFormat="false" ht="16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2"/>
      <c r="BW42" s="2"/>
      <c r="BX42" s="2"/>
    </row>
    <row r="43" customFormat="false" ht="16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2"/>
      <c r="BW43" s="2"/>
      <c r="BX43" s="2"/>
    </row>
    <row r="44" customFormat="false" ht="16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2"/>
      <c r="BW44" s="2"/>
      <c r="BX44" s="2"/>
    </row>
    <row r="45" customFormat="false" ht="16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2"/>
      <c r="BW45" s="2"/>
      <c r="BX45" s="2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2"/>
      <c r="BW46" s="2"/>
      <c r="BX46" s="2"/>
    </row>
    <row r="47" customFormat="false" ht="16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2"/>
      <c r="BW47" s="2"/>
      <c r="BX47" s="2"/>
      <c r="DT47" s="1" t="s">
        <v>45</v>
      </c>
    </row>
    <row r="48" customFormat="false" ht="16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2"/>
      <c r="BW48" s="2"/>
      <c r="BX48" s="2"/>
    </row>
    <row r="49" customFormat="false" ht="16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2"/>
      <c r="BW49" s="2"/>
      <c r="BX49" s="2"/>
    </row>
    <row r="50" customFormat="false" ht="16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2"/>
      <c r="BW50" s="2"/>
      <c r="BX50" s="2"/>
    </row>
    <row r="51" customFormat="false" ht="16" hidden="false" customHeight="true" outlineLevel="0" collapsed="false">
      <c r="A51" s="1" t="s">
        <v>46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2"/>
      <c r="BW51" s="2"/>
      <c r="BX51" s="2"/>
    </row>
    <row r="52" customFormat="false" ht="16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 t="s">
        <v>47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2"/>
      <c r="BW52" s="2"/>
      <c r="BX52" s="2"/>
    </row>
    <row r="53" customFormat="false" ht="16" hidden="false" customHeight="true" outlineLevel="0" collapsed="false">
      <c r="A53" s="1"/>
      <c r="B53" s="1" t="s">
        <v>48</v>
      </c>
      <c r="C53" s="1" t="s">
        <v>49</v>
      </c>
      <c r="D53" s="1" t="s">
        <v>50</v>
      </c>
      <c r="E53" s="1" t="s">
        <v>51</v>
      </c>
      <c r="F53" s="1" t="s">
        <v>30</v>
      </c>
      <c r="G53" s="1"/>
      <c r="H53" s="1" t="s">
        <v>31</v>
      </c>
      <c r="I53" s="1"/>
      <c r="J53" s="1"/>
      <c r="K53" s="1"/>
      <c r="L53" s="1"/>
      <c r="M53" s="1"/>
      <c r="N53" s="1"/>
      <c r="O53" s="1"/>
      <c r="P53" s="1"/>
      <c r="Q53" s="1" t="s">
        <v>31</v>
      </c>
      <c r="R53" s="1" t="s">
        <v>48</v>
      </c>
      <c r="S53" s="1" t="s">
        <v>49</v>
      </c>
      <c r="T53" s="1" t="s">
        <v>50</v>
      </c>
      <c r="U53" s="1" t="s">
        <v>51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s">
        <v>48</v>
      </c>
      <c r="AL53" s="1" t="s">
        <v>49</v>
      </c>
      <c r="AM53" s="1" t="s">
        <v>50</v>
      </c>
      <c r="AN53" s="1" t="s">
        <v>51</v>
      </c>
      <c r="AO53" s="1" t="s">
        <v>30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 t="s">
        <v>48</v>
      </c>
      <c r="BC53" s="1" t="s">
        <v>49</v>
      </c>
      <c r="BD53" s="1" t="s">
        <v>50</v>
      </c>
      <c r="BE53" s="1" t="s">
        <v>51</v>
      </c>
      <c r="BF53" s="1" t="s">
        <v>30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 t="s">
        <v>34</v>
      </c>
      <c r="BR53" s="1" t="s">
        <v>35</v>
      </c>
      <c r="BS53" s="1" t="s">
        <v>36</v>
      </c>
      <c r="BT53" s="1" t="s">
        <v>37</v>
      </c>
      <c r="BU53" s="1" t="s">
        <v>34</v>
      </c>
      <c r="BV53" s="4" t="s">
        <v>38</v>
      </c>
      <c r="BW53" s="4" t="s">
        <v>39</v>
      </c>
      <c r="BX53" s="4"/>
      <c r="CA53" s="1" t="s">
        <v>1</v>
      </c>
    </row>
    <row r="54" customFormat="false" ht="16" hidden="false" customHeight="true" outlineLevel="0" collapsed="false">
      <c r="A54" s="1" t="n">
        <v>2.5</v>
      </c>
      <c r="B54" s="1" t="n">
        <v>96871</v>
      </c>
      <c r="C54" s="1" t="n">
        <v>150936</v>
      </c>
      <c r="D54" s="1" t="n">
        <v>4095</v>
      </c>
      <c r="E54" s="1" t="n">
        <v>20583</v>
      </c>
      <c r="F54" s="1" t="n">
        <f aca="false">SUM(B54:E54)</f>
        <v>272485</v>
      </c>
      <c r="G54" s="1"/>
      <c r="H54" s="1" t="n">
        <v>1</v>
      </c>
      <c r="I54" s="1"/>
      <c r="J54" s="1"/>
      <c r="K54" s="1"/>
      <c r="L54" s="1"/>
      <c r="M54" s="1"/>
      <c r="N54" s="1"/>
      <c r="O54" s="1"/>
      <c r="P54" s="1"/>
      <c r="Q54" s="1" t="n">
        <v>1</v>
      </c>
      <c r="R54" s="3" t="n">
        <f aca="false">B54/$Q54</f>
        <v>96871</v>
      </c>
      <c r="S54" s="3" t="n">
        <f aca="false">C54/$Q54</f>
        <v>150936</v>
      </c>
      <c r="T54" s="3" t="n">
        <f aca="false">D54/$Q54</f>
        <v>4095</v>
      </c>
      <c r="U54" s="3" t="n">
        <f aca="false">E54/$Q54</f>
        <v>20583</v>
      </c>
      <c r="V54" s="3" t="n">
        <f aca="false">F54/$Q54</f>
        <v>272485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 t="n">
        <v>0</v>
      </c>
      <c r="AK54" s="4" t="n">
        <f aca="false">R54/R$74</f>
        <v>0.57665583</v>
      </c>
      <c r="AL54" s="4" t="n">
        <f aca="false">S54/S$74</f>
        <v>0.57080414</v>
      </c>
      <c r="AM54" s="4" t="n">
        <f aca="false">T54/T$74</f>
        <v>0.43597553</v>
      </c>
      <c r="AN54" s="4" t="n">
        <f aca="false">U54/U$74</f>
        <v>0.69289409</v>
      </c>
      <c r="AO54" s="4" t="e">
        <f aca="false">V54/V$74</f>
        <v>#DIV/0!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4" t="n">
        <f aca="false">AK54</f>
        <v>0.57665583</v>
      </c>
      <c r="BC54" s="4" t="n">
        <f aca="false">AL54</f>
        <v>0.57080414</v>
      </c>
      <c r="BD54" s="4" t="n">
        <f aca="false">AM54</f>
        <v>0.43597553</v>
      </c>
      <c r="BE54" s="4" t="n">
        <f aca="false">AN54</f>
        <v>0.69289409</v>
      </c>
      <c r="BF54" s="4" t="e">
        <f aca="false">AO54</f>
        <v>#DIV/0!</v>
      </c>
      <c r="BG54" s="4"/>
      <c r="BH54" s="4"/>
      <c r="BI54" s="4"/>
      <c r="BJ54" s="4"/>
      <c r="BK54" s="4"/>
      <c r="BL54" s="1"/>
      <c r="BM54" s="1"/>
      <c r="BN54" s="1"/>
      <c r="BO54" s="1"/>
      <c r="BP54" s="1"/>
      <c r="BQ54" s="1" t="n">
        <v>2.5</v>
      </c>
      <c r="BR54" s="4" t="n">
        <f aca="false">AN54</f>
        <v>0.69289409</v>
      </c>
      <c r="BS54" s="1" t="n">
        <f aca="false">LN(BR54)</f>
        <v>-0.36687812</v>
      </c>
      <c r="BT54" s="1" t="n">
        <f aca="false">BU54*BU54</f>
        <v>6.25</v>
      </c>
      <c r="BU54" s="1" t="n">
        <f aca="false">BQ54</f>
        <v>2.5</v>
      </c>
      <c r="BV54" s="4" t="n">
        <f aca="false">SQRT(BQ54)</f>
        <v>1.5811388</v>
      </c>
      <c r="BW54" s="4" t="n">
        <f aca="false">EXP(+$CC$54+$CB$60*BU54+$CC$60*BU54)</f>
        <v>0.52320731</v>
      </c>
      <c r="BX54" s="4" t="n">
        <f aca="false">BW54/$BW$26</f>
        <v>0.54795228</v>
      </c>
      <c r="BZ54" s="1" t="s">
        <v>2</v>
      </c>
      <c r="CC54" s="1" t="n">
        <v>-0.18606903</v>
      </c>
      <c r="CF54" s="1" t="n">
        <v>0</v>
      </c>
      <c r="CG54" s="1" t="n">
        <v>5</v>
      </c>
      <c r="CH54" s="1" t="n">
        <v>512678.8</v>
      </c>
      <c r="CI54" s="1" t="n">
        <v>0.2915</v>
      </c>
      <c r="CJ54" s="1" t="n">
        <v>512678.8</v>
      </c>
      <c r="CK54" s="1" t="n">
        <v>0.2915</v>
      </c>
    </row>
    <row r="55" customFormat="false" ht="16" hidden="false" customHeight="true" outlineLevel="0" collapsed="false">
      <c r="A55" s="1" t="n">
        <v>7.5</v>
      </c>
      <c r="B55" s="1" t="n">
        <v>108387</v>
      </c>
      <c r="C55" s="1" t="n">
        <v>165630</v>
      </c>
      <c r="D55" s="1" t="n">
        <v>5229</v>
      </c>
      <c r="E55" s="1" t="n">
        <v>14293</v>
      </c>
      <c r="F55" s="1" t="n">
        <f aca="false">SUM(B55:E55)</f>
        <v>293539</v>
      </c>
      <c r="G55" s="1"/>
      <c r="H55" s="1" t="n">
        <v>3</v>
      </c>
      <c r="I55" s="1"/>
      <c r="J55" s="1"/>
      <c r="K55" s="1"/>
      <c r="L55" s="1"/>
      <c r="M55" s="1"/>
      <c r="N55" s="1"/>
      <c r="O55" s="1"/>
      <c r="P55" s="1"/>
      <c r="Q55" s="1" t="n">
        <v>3</v>
      </c>
      <c r="R55" s="3" t="n">
        <f aca="false">B55/$Q55</f>
        <v>36129</v>
      </c>
      <c r="S55" s="3" t="n">
        <f aca="false">C55/$Q55</f>
        <v>55210</v>
      </c>
      <c r="T55" s="3" t="n">
        <f aca="false">D55/$Q55</f>
        <v>1743</v>
      </c>
      <c r="U55" s="3" t="n">
        <f aca="false">E55/$Q55</f>
        <v>4764.3333</v>
      </c>
      <c r="V55" s="3" t="n">
        <f aca="false">F55/$Q55</f>
        <v>97846.333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 t="n">
        <v>5</v>
      </c>
      <c r="AK55" s="4" t="n">
        <f aca="false">R55/R$74</f>
        <v>0.21506951</v>
      </c>
      <c r="AL55" s="4" t="n">
        <f aca="false">S55/S$74</f>
        <v>0.20879112</v>
      </c>
      <c r="AM55" s="4" t="n">
        <f aca="false">T55/T$74</f>
        <v>0.18556907</v>
      </c>
      <c r="AN55" s="4" t="n">
        <f aca="false">U55/U$74</f>
        <v>0.16038373</v>
      </c>
      <c r="AO55" s="4" t="e">
        <f aca="false">V55/V$74</f>
        <v>#DIV/0!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4" t="n">
        <f aca="false">AK55+BB54</f>
        <v>0.79172533</v>
      </c>
      <c r="BC55" s="4" t="n">
        <f aca="false">AL55+BC54</f>
        <v>0.77959527</v>
      </c>
      <c r="BD55" s="4" t="n">
        <f aca="false">AM55+BD54</f>
        <v>0.6215446</v>
      </c>
      <c r="BE55" s="4" t="n">
        <f aca="false">AN55+BE54</f>
        <v>0.85327782</v>
      </c>
      <c r="BF55" s="4" t="e">
        <f aca="false">AO55+BF54</f>
        <v>#DIV/0!</v>
      </c>
      <c r="BG55" s="4"/>
      <c r="BH55" s="4"/>
      <c r="BI55" s="4"/>
      <c r="BJ55" s="4"/>
      <c r="BK55" s="4"/>
      <c r="BL55" s="1"/>
      <c r="BM55" s="1"/>
      <c r="BN55" s="1"/>
      <c r="BO55" s="1"/>
      <c r="BP55" s="1"/>
      <c r="BQ55" s="1" t="n">
        <v>7.5</v>
      </c>
      <c r="BR55" s="4" t="n">
        <f aca="false">AN55</f>
        <v>0.16038373</v>
      </c>
      <c r="BS55" s="1" t="n">
        <f aca="false">LN(BR55)</f>
        <v>-1.830186</v>
      </c>
      <c r="BT55" s="1" t="n">
        <f aca="false">BU55*BU55</f>
        <v>56.25</v>
      </c>
      <c r="BU55" s="1" t="n">
        <f aca="false">BQ55</f>
        <v>7.5</v>
      </c>
      <c r="BV55" s="4" t="n">
        <f aca="false">SQRT(BQ55)</f>
        <v>2.7386128</v>
      </c>
      <c r="BW55" s="4" t="n">
        <f aca="false">EXP(+$CC$54+$CB$60*BU55+$CC$60*BU55)</f>
        <v>0.20779683</v>
      </c>
      <c r="BX55" s="4" t="n">
        <f aca="false">BW55/$BW$26</f>
        <v>0.21762453</v>
      </c>
      <c r="BZ55" s="1" t="s">
        <v>5</v>
      </c>
      <c r="CC55" s="1" t="n">
        <v>0.54003558</v>
      </c>
      <c r="CF55" s="1" t="n">
        <v>5</v>
      </c>
      <c r="CG55" s="1" t="n">
        <v>10</v>
      </c>
      <c r="CH55" s="1" t="n">
        <v>284162.8</v>
      </c>
      <c r="CI55" s="1" t="n">
        <v>0.1616</v>
      </c>
      <c r="CJ55" s="1" t="n">
        <v>796841.6</v>
      </c>
      <c r="CK55" s="1" t="n">
        <v>0.4531</v>
      </c>
    </row>
    <row r="56" customFormat="false" ht="16" hidden="false" customHeight="true" outlineLevel="0" collapsed="false">
      <c r="A56" s="1" t="n">
        <v>12.5</v>
      </c>
      <c r="B56" s="1" t="n">
        <v>83450</v>
      </c>
      <c r="C56" s="1" t="n">
        <v>150992</v>
      </c>
      <c r="D56" s="1" t="n">
        <v>5184</v>
      </c>
      <c r="E56" s="1" t="n">
        <v>14376</v>
      </c>
      <c r="F56" s="1" t="n">
        <f aca="false">SUM(B56:E56)</f>
        <v>254002</v>
      </c>
      <c r="G56" s="1"/>
      <c r="H56" s="1" t="n">
        <v>5</v>
      </c>
      <c r="I56" s="1"/>
      <c r="J56" s="1"/>
      <c r="K56" s="1"/>
      <c r="L56" s="1"/>
      <c r="M56" s="1"/>
      <c r="N56" s="1"/>
      <c r="O56" s="1"/>
      <c r="P56" s="1"/>
      <c r="Q56" s="1" t="n">
        <v>5</v>
      </c>
      <c r="R56" s="3" t="n">
        <f aca="false">B56/$Q56</f>
        <v>16690</v>
      </c>
      <c r="S56" s="3" t="n">
        <f aca="false">C56/$Q56</f>
        <v>30198.4</v>
      </c>
      <c r="T56" s="3" t="n">
        <f aca="false">D56/$Q56</f>
        <v>1036.8</v>
      </c>
      <c r="U56" s="3" t="n">
        <f aca="false">E56/$Q56</f>
        <v>2875.2</v>
      </c>
      <c r="V56" s="3" t="n">
        <f aca="false">F56/$Q56</f>
        <v>50800.4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 t="n">
        <v>10</v>
      </c>
      <c r="AK56" s="4" t="n">
        <f aca="false">R56/R$74</f>
        <v>0.0993526</v>
      </c>
      <c r="AL56" s="4" t="n">
        <f aca="false">S56/S$74</f>
        <v>0.11420318</v>
      </c>
      <c r="AM56" s="4" t="n">
        <f aca="false">T56/T$74</f>
        <v>0.11038325</v>
      </c>
      <c r="AN56" s="4" t="n">
        <f aca="false">U56/U$74</f>
        <v>0.096789054</v>
      </c>
      <c r="AO56" s="4" t="e">
        <f aca="false">V56/V$74</f>
        <v>#DIV/0!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4" t="n">
        <f aca="false">AK56+BB55</f>
        <v>0.89107793</v>
      </c>
      <c r="BC56" s="4" t="n">
        <f aca="false">AL56+BC55</f>
        <v>0.89379845</v>
      </c>
      <c r="BD56" s="4" t="n">
        <f aca="false">AM56+BD55</f>
        <v>0.73192785</v>
      </c>
      <c r="BE56" s="4" t="n">
        <f aca="false">AN56+BE55</f>
        <v>0.95006688</v>
      </c>
      <c r="BF56" s="4" t="e">
        <f aca="false">AO56+BF55</f>
        <v>#DIV/0!</v>
      </c>
      <c r="BG56" s="4"/>
      <c r="BH56" s="4"/>
      <c r="BI56" s="4"/>
      <c r="BJ56" s="4"/>
      <c r="BK56" s="4"/>
      <c r="BL56" s="1"/>
      <c r="BM56" s="1"/>
      <c r="BN56" s="1"/>
      <c r="BO56" s="1"/>
      <c r="BP56" s="1"/>
      <c r="BQ56" s="1" t="n">
        <v>12.5</v>
      </c>
      <c r="BR56" s="4" t="n">
        <f aca="false">AN56</f>
        <v>0.096789054</v>
      </c>
      <c r="BS56" s="1" t="n">
        <f aca="false">LN(BR56)</f>
        <v>-2.3352214</v>
      </c>
      <c r="BT56" s="1" t="n">
        <f aca="false">BU56*BU56</f>
        <v>156.25</v>
      </c>
      <c r="BU56" s="1" t="n">
        <f aca="false">BQ56</f>
        <v>12.5</v>
      </c>
      <c r="BV56" s="4" t="n">
        <f aca="false">SQRT(BQ56)</f>
        <v>3.5355339</v>
      </c>
      <c r="BW56" s="4" t="n">
        <f aca="false">EXP(+$CC$54+$CB$60*BU56+$CC$60*BU56)</f>
        <v>0.082528514</v>
      </c>
      <c r="BX56" s="4" t="n">
        <f aca="false">BW56/$BW$26</f>
        <v>0.086431681</v>
      </c>
      <c r="BZ56" s="1" t="s">
        <v>8</v>
      </c>
      <c r="CC56" s="1" t="n">
        <v>0.95341634</v>
      </c>
      <c r="CF56" s="1" t="n">
        <v>10</v>
      </c>
      <c r="CG56" s="1" t="n">
        <v>15</v>
      </c>
      <c r="CH56" s="1" t="n">
        <v>283462</v>
      </c>
      <c r="CI56" s="1" t="n">
        <v>0.1612</v>
      </c>
      <c r="CJ56" s="1" t="n">
        <v>1080304</v>
      </c>
      <c r="CK56" s="1" t="n">
        <v>0.6142</v>
      </c>
    </row>
    <row r="57" customFormat="false" ht="16" hidden="false" customHeight="true" outlineLevel="0" collapsed="false">
      <c r="A57" s="1" t="n">
        <v>17.5</v>
      </c>
      <c r="B57" s="1" t="n">
        <v>52618</v>
      </c>
      <c r="C57" s="1" t="n">
        <v>85960</v>
      </c>
      <c r="D57" s="1" t="n">
        <v>5002</v>
      </c>
      <c r="E57" s="1" t="n">
        <v>5748</v>
      </c>
      <c r="F57" s="1" t="n">
        <f aca="false">SUM(B57:E57)</f>
        <v>149328</v>
      </c>
      <c r="G57" s="1"/>
      <c r="H57" s="1" t="n">
        <v>7</v>
      </c>
      <c r="I57" s="1"/>
      <c r="J57" s="1"/>
      <c r="K57" s="1"/>
      <c r="L57" s="1"/>
      <c r="M57" s="1"/>
      <c r="N57" s="1"/>
      <c r="O57" s="1"/>
      <c r="P57" s="1"/>
      <c r="Q57" s="1" t="n">
        <v>7</v>
      </c>
      <c r="R57" s="3" t="n">
        <f aca="false">B57/$Q57</f>
        <v>7516.8571</v>
      </c>
      <c r="S57" s="3" t="n">
        <f aca="false">C57/$Q57</f>
        <v>12280</v>
      </c>
      <c r="T57" s="3" t="n">
        <f aca="false">D57/$Q57</f>
        <v>714.57143</v>
      </c>
      <c r="U57" s="3" t="n">
        <f aca="false">E57/$Q57</f>
        <v>821.14286</v>
      </c>
      <c r="V57" s="3" t="n">
        <f aca="false">F57/$Q57</f>
        <v>21332.571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 t="n">
        <v>15</v>
      </c>
      <c r="AK57" s="4" t="n">
        <f aca="false">R57/R$74</f>
        <v>0.044746513</v>
      </c>
      <c r="AL57" s="4" t="n">
        <f aca="false">S57/S$74</f>
        <v>0.046440047</v>
      </c>
      <c r="AM57" s="4" t="n">
        <f aca="false">T57/T$74</f>
        <v>0.076077083</v>
      </c>
      <c r="AN57" s="4" t="n">
        <f aca="false">U57/U$74</f>
        <v>0.027642474</v>
      </c>
      <c r="AO57" s="4" t="e">
        <f aca="false">V57/V$74</f>
        <v>#DIV/0!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4" t="n">
        <f aca="false">AK57+BB56</f>
        <v>0.93582445</v>
      </c>
      <c r="BC57" s="4" t="n">
        <f aca="false">AL57+BC56</f>
        <v>0.9402385</v>
      </c>
      <c r="BD57" s="4" t="n">
        <f aca="false">AM57+BD56</f>
        <v>0.80800494</v>
      </c>
      <c r="BE57" s="4" t="n">
        <f aca="false">AN57+BE56</f>
        <v>0.97770935</v>
      </c>
      <c r="BF57" s="4" t="e">
        <f aca="false">AO57+BF56</f>
        <v>#DIV/0!</v>
      </c>
      <c r="BG57" s="4"/>
      <c r="BH57" s="4"/>
      <c r="BI57" s="4"/>
      <c r="BJ57" s="4"/>
      <c r="BK57" s="4"/>
      <c r="BL57" s="1"/>
      <c r="BM57" s="1"/>
      <c r="BN57" s="1"/>
      <c r="BO57" s="1"/>
      <c r="BP57" s="1"/>
      <c r="BQ57" s="1" t="n">
        <v>17.5</v>
      </c>
      <c r="BR57" s="4" t="n">
        <f aca="false">AN57</f>
        <v>0.027642474</v>
      </c>
      <c r="BS57" s="1" t="n">
        <f aca="false">LN(BR57)</f>
        <v>-3.5884018</v>
      </c>
      <c r="BT57" s="1" t="n">
        <f aca="false">BU57*BU57</f>
        <v>306.25</v>
      </c>
      <c r="BU57" s="1" t="n">
        <f aca="false">BQ57</f>
        <v>17.5</v>
      </c>
      <c r="BV57" s="4" t="n">
        <f aca="false">SQRT(BQ57)</f>
        <v>4.1833001</v>
      </c>
      <c r="BW57" s="4" t="n">
        <f aca="false">EXP(+$CC$54+$CB$60*BU57+$CC$60*BU57)</f>
        <v>0.032776995</v>
      </c>
      <c r="BX57" s="4" t="n">
        <f aca="false">BW57/$BW$26</f>
        <v>0.034327175</v>
      </c>
      <c r="BZ57" s="1" t="s">
        <v>16</v>
      </c>
      <c r="CC57" s="1" t="n">
        <v>8</v>
      </c>
      <c r="CF57" s="1" t="n">
        <v>15</v>
      </c>
      <c r="CG57" s="1" t="n">
        <v>20</v>
      </c>
      <c r="CH57" s="1" t="n">
        <v>221369.4</v>
      </c>
      <c r="CI57" s="1" t="n">
        <v>0.1259</v>
      </c>
      <c r="CJ57" s="1" t="n">
        <v>1301673</v>
      </c>
      <c r="CK57" s="1" t="n">
        <v>0.7401</v>
      </c>
    </row>
    <row r="58" customFormat="false" ht="16" hidden="false" customHeight="true" outlineLevel="0" collapsed="false">
      <c r="A58" s="1" t="n">
        <v>22.5</v>
      </c>
      <c r="B58" s="1" t="n">
        <v>26426</v>
      </c>
      <c r="C58" s="1" t="n">
        <v>40819</v>
      </c>
      <c r="D58" s="1" t="n">
        <v>3484</v>
      </c>
      <c r="E58" s="1" t="n">
        <v>1843</v>
      </c>
      <c r="F58" s="1" t="n">
        <f aca="false">SUM(B58:E58)</f>
        <v>72572</v>
      </c>
      <c r="G58" s="1"/>
      <c r="H58" s="1" t="n">
        <v>9</v>
      </c>
      <c r="I58" s="1"/>
      <c r="J58" s="1"/>
      <c r="K58" s="1"/>
      <c r="L58" s="1"/>
      <c r="M58" s="1"/>
      <c r="N58" s="1"/>
      <c r="O58" s="1"/>
      <c r="P58" s="1"/>
      <c r="Q58" s="1" t="n">
        <v>9</v>
      </c>
      <c r="R58" s="3" t="n">
        <f aca="false">B58/$Q58</f>
        <v>2936.2222</v>
      </c>
      <c r="S58" s="3" t="n">
        <f aca="false">C58/$Q58</f>
        <v>4535.4444</v>
      </c>
      <c r="T58" s="3" t="n">
        <f aca="false">D58/$Q58</f>
        <v>387.11111</v>
      </c>
      <c r="U58" s="3" t="n">
        <f aca="false">E58/$Q58</f>
        <v>204.77778</v>
      </c>
      <c r="V58" s="3" t="n">
        <f aca="false">F58/$Q58</f>
        <v>8063.5556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 t="n">
        <v>20</v>
      </c>
      <c r="AK58" s="4" t="n">
        <f aca="false">R58/R$74</f>
        <v>0.017478808</v>
      </c>
      <c r="AL58" s="4" t="n">
        <f aca="false">S58/S$74</f>
        <v>0.017151975</v>
      </c>
      <c r="AM58" s="4" t="n">
        <f aca="false">T58/T$74</f>
        <v>0.041213912</v>
      </c>
      <c r="AN58" s="4" t="n">
        <f aca="false">U58/U$74</f>
        <v>0.0068935195</v>
      </c>
      <c r="AO58" s="4" t="e">
        <f aca="false">V58/V$74</f>
        <v>#DIV/0!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4" t="n">
        <f aca="false">AK58+BB57</f>
        <v>0.95330325</v>
      </c>
      <c r="BC58" s="4" t="n">
        <f aca="false">AL58+BC57</f>
        <v>0.95739047</v>
      </c>
      <c r="BD58" s="4" t="n">
        <f aca="false">AM58+BD57</f>
        <v>0.84921885</v>
      </c>
      <c r="BE58" s="4" t="n">
        <f aca="false">AN58+BE57</f>
        <v>0.98460287</v>
      </c>
      <c r="BF58" s="4" t="e">
        <f aca="false">AO58+BF57</f>
        <v>#DIV/0!</v>
      </c>
      <c r="BG58" s="4"/>
      <c r="BH58" s="4"/>
      <c r="BI58" s="4"/>
      <c r="BJ58" s="4"/>
      <c r="BK58" s="4"/>
      <c r="BL58" s="1"/>
      <c r="BM58" s="1"/>
      <c r="BN58" s="1"/>
      <c r="BO58" s="1"/>
      <c r="BP58" s="1"/>
      <c r="BQ58" s="1" t="n">
        <v>22.5</v>
      </c>
      <c r="BR58" s="4" t="n">
        <f aca="false">AN58</f>
        <v>0.0068935195</v>
      </c>
      <c r="BS58" s="1" t="n">
        <f aca="false">LN(BR58)</f>
        <v>-4.9771735</v>
      </c>
      <c r="BT58" s="1" t="n">
        <f aca="false">BU58*BU58</f>
        <v>506.25</v>
      </c>
      <c r="BU58" s="1" t="n">
        <f aca="false">BQ58</f>
        <v>22.5</v>
      </c>
      <c r="BV58" s="4" t="n">
        <f aca="false">SQRT(BQ58)</f>
        <v>4.7434165</v>
      </c>
      <c r="BW58" s="4" t="n">
        <f aca="false">EXP(+$CC$54+$CB$60*BU58+$CC$60*BU58)</f>
        <v>0.0130177</v>
      </c>
      <c r="BX58" s="4" t="n">
        <f aca="false">BW58/$BW$26</f>
        <v>0.013633369</v>
      </c>
      <c r="BZ58" s="1" t="s">
        <v>41</v>
      </c>
      <c r="CC58" s="1" t="n">
        <v>6</v>
      </c>
      <c r="CF58" s="1" t="n">
        <v>20</v>
      </c>
      <c r="CG58" s="1" t="n">
        <v>25</v>
      </c>
      <c r="CH58" s="1" t="n">
        <v>154843.3</v>
      </c>
      <c r="CI58" s="1" t="n">
        <v>0.088</v>
      </c>
      <c r="CJ58" s="1" t="n">
        <v>1456516</v>
      </c>
      <c r="CK58" s="1" t="n">
        <v>0.8282</v>
      </c>
    </row>
    <row r="59" customFormat="false" ht="16" hidden="false" customHeight="true" outlineLevel="0" collapsed="false">
      <c r="A59" s="1" t="n">
        <v>27.5</v>
      </c>
      <c r="B59" s="1" t="n">
        <v>44422</v>
      </c>
      <c r="C59" s="1" t="n">
        <v>64311</v>
      </c>
      <c r="D59" s="1" t="n">
        <v>5190</v>
      </c>
      <c r="E59" s="1" t="n">
        <v>4301</v>
      </c>
      <c r="F59" s="1" t="n">
        <f aca="false">SUM(B59:E59)</f>
        <v>118224</v>
      </c>
      <c r="G59" s="1"/>
      <c r="H59" s="1" t="n">
        <v>11</v>
      </c>
      <c r="I59" s="1"/>
      <c r="J59" s="1"/>
      <c r="K59" s="1"/>
      <c r="L59" s="1"/>
      <c r="M59" s="1"/>
      <c r="N59" s="1"/>
      <c r="O59" s="1"/>
      <c r="P59" s="1"/>
      <c r="Q59" s="1" t="n">
        <v>11</v>
      </c>
      <c r="R59" s="3" t="n">
        <f aca="false">B59/$Q59</f>
        <v>4038.3636</v>
      </c>
      <c r="S59" s="3" t="n">
        <f aca="false">C59/$Q59</f>
        <v>5846.4545</v>
      </c>
      <c r="T59" s="3" t="n">
        <f aca="false">D59/$Q59</f>
        <v>471.81818</v>
      </c>
      <c r="U59" s="3" t="n">
        <f aca="false">E59/$Q59</f>
        <v>391</v>
      </c>
      <c r="V59" s="3" t="n">
        <f aca="false">F59/$Q59</f>
        <v>10747.636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 t="n">
        <v>25</v>
      </c>
      <c r="AK59" s="4" t="n">
        <f aca="false">R59/R$74</f>
        <v>0.02403966</v>
      </c>
      <c r="AL59" s="4" t="n">
        <f aca="false">S59/S$74</f>
        <v>0.022109904</v>
      </c>
      <c r="AM59" s="4" t="n">
        <f aca="false">T59/T$74</f>
        <v>0.050232279</v>
      </c>
      <c r="AN59" s="4" t="n">
        <f aca="false">U59/U$74</f>
        <v>0.013162396</v>
      </c>
      <c r="AO59" s="4" t="e">
        <f aca="false">V59/V$74</f>
        <v>#DIV/0!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4" t="n">
        <f aca="false">AK59+BB58</f>
        <v>0.97734291</v>
      </c>
      <c r="BC59" s="4" t="n">
        <f aca="false">AL59+BC58</f>
        <v>0.97950038</v>
      </c>
      <c r="BD59" s="4" t="n">
        <f aca="false">AM59+BD58</f>
        <v>0.89945113</v>
      </c>
      <c r="BE59" s="4" t="n">
        <f aca="false">AN59+BE58</f>
        <v>0.99776527</v>
      </c>
      <c r="BF59" s="4" t="e">
        <f aca="false">AO59+BF58</f>
        <v>#DIV/0!</v>
      </c>
      <c r="BG59" s="4"/>
      <c r="BH59" s="4"/>
      <c r="BI59" s="4"/>
      <c r="BJ59" s="4"/>
      <c r="BK59" s="4"/>
      <c r="BL59" s="1"/>
      <c r="BM59" s="1"/>
      <c r="BN59" s="1"/>
      <c r="BO59" s="1"/>
      <c r="BP59" s="1"/>
      <c r="BQ59" s="1" t="n">
        <v>27.5</v>
      </c>
      <c r="BR59" s="4" t="n">
        <f aca="false">AN59</f>
        <v>0.013162396</v>
      </c>
      <c r="BS59" s="1" t="n">
        <f aca="false">LN(BR59)</f>
        <v>-4.3303913</v>
      </c>
      <c r="BT59" s="1" t="n">
        <f aca="false">BU59*BU59</f>
        <v>756.25</v>
      </c>
      <c r="BU59" s="1" t="n">
        <f aca="false">BQ59</f>
        <v>27.5</v>
      </c>
      <c r="BV59" s="4" t="n">
        <f aca="false">SQRT(BQ59)</f>
        <v>5.2440442</v>
      </c>
      <c r="BW59" s="4" t="n">
        <f aca="false">EXP(+$CC$54+$CB$60*BU59+$CC$60*BU59)</f>
        <v>0.005170105</v>
      </c>
      <c r="BX59" s="4" t="n">
        <f aca="false">BW59/$BW$26</f>
        <v>0.0054146239</v>
      </c>
      <c r="CF59" s="1" t="n">
        <v>25</v>
      </c>
      <c r="CG59" s="1" t="n">
        <v>30</v>
      </c>
      <c r="CH59" s="1" t="n">
        <v>106902.9</v>
      </c>
      <c r="CI59" s="1" t="n">
        <v>0.0608</v>
      </c>
      <c r="CJ59" s="1" t="n">
        <v>1563419</v>
      </c>
      <c r="CK59" s="1" t="n">
        <v>0.8889</v>
      </c>
    </row>
    <row r="60" customFormat="false" ht="16" hidden="false" customHeight="true" outlineLevel="0" collapsed="false">
      <c r="A60" s="1" t="n">
        <v>32.5</v>
      </c>
      <c r="B60" s="1" t="n">
        <v>12830</v>
      </c>
      <c r="C60" s="1" t="n">
        <v>18204</v>
      </c>
      <c r="D60" s="1" t="n">
        <v>2627</v>
      </c>
      <c r="E60" s="1" t="n">
        <v>486</v>
      </c>
      <c r="F60" s="1" t="n">
        <f aca="false">SUM(B60:E60)</f>
        <v>34147</v>
      </c>
      <c r="G60" s="1"/>
      <c r="H60" s="1" t="n">
        <v>13</v>
      </c>
      <c r="I60" s="1"/>
      <c r="J60" s="1"/>
      <c r="K60" s="1"/>
      <c r="L60" s="1"/>
      <c r="M60" s="1"/>
      <c r="N60" s="1"/>
      <c r="O60" s="1"/>
      <c r="P60" s="1"/>
      <c r="Q60" s="1" t="n">
        <v>13</v>
      </c>
      <c r="R60" s="3" t="n">
        <f aca="false">B60/$Q60</f>
        <v>986.92308</v>
      </c>
      <c r="S60" s="3" t="n">
        <f aca="false">C60/$Q60</f>
        <v>1400.3077</v>
      </c>
      <c r="T60" s="3" t="n">
        <f aca="false">D60/$Q60</f>
        <v>202.07692</v>
      </c>
      <c r="U60" s="3" t="n">
        <f aca="false">E60/$Q60</f>
        <v>37.384615</v>
      </c>
      <c r="V60" s="3" t="n">
        <f aca="false">F60/$Q60</f>
        <v>2626.6923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 t="n">
        <v>30</v>
      </c>
      <c r="AK60" s="4" t="n">
        <f aca="false">R60/R$74</f>
        <v>0.0058749775</v>
      </c>
      <c r="AL60" s="4" t="n">
        <f aca="false">S60/S$74</f>
        <v>0.0052956315</v>
      </c>
      <c r="AM60" s="4" t="n">
        <f aca="false">T60/T$74</f>
        <v>0.021514186</v>
      </c>
      <c r="AN60" s="4" t="n">
        <f aca="false">U60/U$74</f>
        <v>0.0012584939</v>
      </c>
      <c r="AO60" s="4" t="e">
        <f aca="false">V60/V$74</f>
        <v>#DIV/0!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4" t="n">
        <f aca="false">AK60+BB59</f>
        <v>0.98321789</v>
      </c>
      <c r="BC60" s="4" t="n">
        <f aca="false">AL60+BC59</f>
        <v>0.98479601</v>
      </c>
      <c r="BD60" s="4" t="n">
        <f aca="false">AM60+BD59</f>
        <v>0.92096531</v>
      </c>
      <c r="BE60" s="4" t="n">
        <f aca="false">AN60+BE59</f>
        <v>0.99902376</v>
      </c>
      <c r="BF60" s="4" t="e">
        <f aca="false">AO60+BF59</f>
        <v>#DIV/0!</v>
      </c>
      <c r="BG60" s="4"/>
      <c r="BH60" s="4"/>
      <c r="BI60" s="4"/>
      <c r="BJ60" s="4"/>
      <c r="BK60" s="4"/>
      <c r="BL60" s="1"/>
      <c r="BM60" s="1"/>
      <c r="BN60" s="1"/>
      <c r="BO60" s="1"/>
      <c r="BP60" s="1"/>
      <c r="BQ60" s="1" t="n">
        <v>32.5</v>
      </c>
      <c r="BR60" s="4" t="n">
        <f aca="false">AN60</f>
        <v>0.0012584939</v>
      </c>
      <c r="BS60" s="1" t="n">
        <f aca="false">LN(BR60)</f>
        <v>-6.6778396</v>
      </c>
      <c r="BT60" s="1" t="n">
        <f aca="false">BU60*BU60</f>
        <v>1056.25</v>
      </c>
      <c r="BU60" s="1" t="n">
        <f aca="false">BQ60</f>
        <v>32.5</v>
      </c>
      <c r="BV60" s="4" t="n">
        <f aca="false">SQRT(BQ60)</f>
        <v>5.7008771</v>
      </c>
      <c r="BW60" s="4" t="n">
        <f aca="false">EXP(+$CC$54+$CB$60*BU60+$CC$60*BU60)</f>
        <v>0.002053357</v>
      </c>
      <c r="BX60" s="4" t="n">
        <f aca="false">BW60/$BW$26</f>
        <v>0.0021504701</v>
      </c>
      <c r="BZ60" s="1" t="s">
        <v>42</v>
      </c>
      <c r="CB60" s="1" t="n">
        <v>-0.18468339</v>
      </c>
      <c r="CC60" s="1" t="n">
        <v>0</v>
      </c>
      <c r="CF60" s="1" t="n">
        <v>30</v>
      </c>
      <c r="CG60" s="1" t="n">
        <v>35</v>
      </c>
      <c r="CH60" s="1" t="n">
        <v>70775</v>
      </c>
      <c r="CI60" s="1" t="n">
        <v>0.0402</v>
      </c>
      <c r="CJ60" s="1" t="n">
        <v>1634194</v>
      </c>
      <c r="CK60" s="1" t="n">
        <v>0.9292</v>
      </c>
    </row>
    <row r="61" customFormat="false" ht="16" hidden="false" customHeight="true" outlineLevel="0" collapsed="false">
      <c r="A61" s="1" t="n">
        <v>37.5</v>
      </c>
      <c r="B61" s="1" t="n">
        <v>14351</v>
      </c>
      <c r="C61" s="1" t="n">
        <v>19024</v>
      </c>
      <c r="D61" s="1" t="n">
        <v>1712</v>
      </c>
      <c r="E61" s="1" t="n">
        <v>435</v>
      </c>
      <c r="F61" s="1" t="n">
        <f aca="false">SUM(B61:E61)</f>
        <v>35522</v>
      </c>
      <c r="G61" s="1"/>
      <c r="H61" s="1" t="n">
        <v>15</v>
      </c>
      <c r="I61" s="1"/>
      <c r="J61" s="1"/>
      <c r="K61" s="1"/>
      <c r="L61" s="1"/>
      <c r="M61" s="1"/>
      <c r="N61" s="1"/>
      <c r="O61" s="1"/>
      <c r="P61" s="1"/>
      <c r="Q61" s="1" t="n">
        <v>15</v>
      </c>
      <c r="R61" s="3" t="n">
        <f aca="false">B61/$Q61</f>
        <v>956.73333</v>
      </c>
      <c r="S61" s="3" t="n">
        <f aca="false">C61/$Q61</f>
        <v>1268.2667</v>
      </c>
      <c r="T61" s="3" t="n">
        <f aca="false">D61/$Q61</f>
        <v>114.13333</v>
      </c>
      <c r="U61" s="3" t="n">
        <f aca="false">E61/$Q61</f>
        <v>29</v>
      </c>
      <c r="V61" s="3" t="n">
        <f aca="false">F61/$Q61</f>
        <v>2368.1333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 t="n">
        <v>35</v>
      </c>
      <c r="AK61" s="4" t="n">
        <f aca="false">R61/R$74</f>
        <v>0.0056952633</v>
      </c>
      <c r="AL61" s="4" t="n">
        <f aca="false">S61/S$74</f>
        <v>0.0047962837</v>
      </c>
      <c r="AM61" s="4" t="n">
        <f aca="false">T61/T$74</f>
        <v>0.012151243</v>
      </c>
      <c r="AN61" s="4" t="n">
        <f aca="false">U61/U$74</f>
        <v>0.00097623906</v>
      </c>
      <c r="AO61" s="4" t="e">
        <f aca="false">V61/V$74</f>
        <v>#DIV/0!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4" t="n">
        <f aca="false">AK61+BB60</f>
        <v>0.98891316</v>
      </c>
      <c r="BC61" s="4" t="n">
        <f aca="false">AL61+BC60</f>
        <v>0.98959229</v>
      </c>
      <c r="BD61" s="4" t="n">
        <f aca="false">AM61+BD60</f>
        <v>0.93311656</v>
      </c>
      <c r="BE61" s="4" t="n">
        <f aca="false">AN61+BE60</f>
        <v>1</v>
      </c>
      <c r="BF61" s="4" t="e">
        <f aca="false">AO61+BF60</f>
        <v>#DIV/0!</v>
      </c>
      <c r="BG61" s="4"/>
      <c r="BH61" s="4"/>
      <c r="BI61" s="4"/>
      <c r="BJ61" s="4"/>
      <c r="BK61" s="4"/>
      <c r="BL61" s="1"/>
      <c r="BM61" s="1"/>
      <c r="BN61" s="1"/>
      <c r="BO61" s="1"/>
      <c r="BP61" s="1"/>
      <c r="BQ61" s="1" t="n">
        <v>37.5</v>
      </c>
      <c r="BR61" s="4" t="n">
        <f aca="false">AN61</f>
        <v>0.00097623906</v>
      </c>
      <c r="BS61" s="1" t="n">
        <f aca="false">LN(BR61)</f>
        <v>-6.9318031</v>
      </c>
      <c r="BT61" s="1" t="n">
        <f aca="false">BU61*BU61</f>
        <v>1406.25</v>
      </c>
      <c r="BU61" s="1" t="n">
        <f aca="false">BQ61</f>
        <v>37.5</v>
      </c>
      <c r="BV61" s="4" t="n">
        <f aca="false">SQRT(BQ61)</f>
        <v>6.1237244</v>
      </c>
      <c r="BW61" s="4" t="n">
        <f aca="false">EXP(+$CC$54+$CB$60*BU61+$CC$60*BU61)</f>
        <v>0.00081551055</v>
      </c>
      <c r="BX61" s="4" t="n">
        <f aca="false">BW61/$BW$26</f>
        <v>0.00085407993</v>
      </c>
      <c r="BZ61" s="1" t="s">
        <v>43</v>
      </c>
      <c r="CB61" s="1" t="n">
        <v>0.01666586</v>
      </c>
      <c r="CC61" s="1" t="n">
        <v>0.8225447</v>
      </c>
      <c r="CF61" s="1" t="n">
        <v>35</v>
      </c>
      <c r="CG61" s="1" t="n">
        <v>40</v>
      </c>
      <c r="CH61" s="1" t="n">
        <v>46684.19</v>
      </c>
      <c r="CI61" s="1" t="n">
        <v>0.0265</v>
      </c>
      <c r="CJ61" s="1" t="n">
        <v>1680878</v>
      </c>
      <c r="CK61" s="1" t="n">
        <v>0.9557</v>
      </c>
    </row>
    <row r="62" customFormat="false" ht="16" hidden="false" customHeight="true" outlineLevel="0" collapsed="false">
      <c r="A62" s="1" t="n">
        <v>42.5</v>
      </c>
      <c r="B62" s="1" t="n">
        <v>13541</v>
      </c>
      <c r="C62" s="1" t="n">
        <v>14415</v>
      </c>
      <c r="D62" s="1" t="n">
        <v>3142</v>
      </c>
      <c r="E62" s="1" t="n">
        <v>0</v>
      </c>
      <c r="F62" s="1" t="n">
        <f aca="false">SUM(B62:E62)</f>
        <v>31098</v>
      </c>
      <c r="G62" s="1"/>
      <c r="H62" s="1" t="n">
        <v>17</v>
      </c>
      <c r="I62" s="1"/>
      <c r="J62" s="1"/>
      <c r="K62" s="1"/>
      <c r="L62" s="1"/>
      <c r="M62" s="1"/>
      <c r="N62" s="1"/>
      <c r="O62" s="1"/>
      <c r="P62" s="1"/>
      <c r="Q62" s="1" t="n">
        <v>17</v>
      </c>
      <c r="R62" s="3" t="n">
        <f aca="false">B62/$Q62</f>
        <v>796.52941</v>
      </c>
      <c r="S62" s="3" t="n">
        <f aca="false">C62/$Q62</f>
        <v>847.94118</v>
      </c>
      <c r="T62" s="3" t="n">
        <f aca="false">D62/$Q62</f>
        <v>184.82353</v>
      </c>
      <c r="U62" s="3" t="n">
        <f aca="false">E62/$Q62</f>
        <v>0</v>
      </c>
      <c r="V62" s="3" t="n">
        <f aca="false">F62/$Q62</f>
        <v>1829.2941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n">
        <v>40</v>
      </c>
      <c r="AK62" s="4" t="n">
        <f aca="false">R62/R$74</f>
        <v>0.0047415978</v>
      </c>
      <c r="AL62" s="4" t="n">
        <f aca="false">S62/S$74</f>
        <v>0.0032067124</v>
      </c>
      <c r="AM62" s="4" t="n">
        <f aca="false">T62/T$74</f>
        <v>0.019677298</v>
      </c>
      <c r="AN62" s="4" t="n">
        <f aca="false">U62/U$74</f>
        <v>0</v>
      </c>
      <c r="AO62" s="4" t="e">
        <f aca="false">V62/V$74</f>
        <v>#DIV/0!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4" t="n">
        <f aca="false">AK62+BB61</f>
        <v>0.99365475</v>
      </c>
      <c r="BC62" s="4" t="n">
        <f aca="false">AL62+BC61</f>
        <v>0.992799</v>
      </c>
      <c r="BD62" s="4" t="n">
        <f aca="false">AM62+BD61</f>
        <v>0.95279385</v>
      </c>
      <c r="BE62" s="4" t="n">
        <f aca="false">AN62+BE61</f>
        <v>1</v>
      </c>
      <c r="BF62" s="4" t="e">
        <f aca="false">AO62+BF61</f>
        <v>#DIV/0!</v>
      </c>
      <c r="BG62" s="4"/>
      <c r="BH62" s="4"/>
      <c r="BI62" s="4"/>
      <c r="BJ62" s="4"/>
      <c r="BK62" s="4"/>
      <c r="BL62" s="1"/>
      <c r="BM62" s="1"/>
      <c r="BN62" s="1"/>
      <c r="BO62" s="1"/>
      <c r="BP62" s="1"/>
      <c r="BQ62" s="1" t="n">
        <v>42.5</v>
      </c>
      <c r="BR62" s="4" t="n">
        <f aca="false">AN62</f>
        <v>0</v>
      </c>
      <c r="BS62" s="1" t="e">
        <f aca="false">LN(BR62)</f>
        <v>#VALUE!</v>
      </c>
      <c r="BT62" s="1" t="n">
        <f aca="false">BU62*BU62</f>
        <v>1806.25</v>
      </c>
      <c r="BU62" s="1" t="n">
        <f aca="false">BQ62</f>
        <v>42.5</v>
      </c>
      <c r="BV62" s="4" t="n">
        <f aca="false">SQRT(BQ62)</f>
        <v>6.5192024</v>
      </c>
      <c r="BW62" s="4" t="n">
        <f aca="false">EXP(+$CC$54+$CB$60*BU62+$CC$60*BU62)</f>
        <v>0.00032388788</v>
      </c>
      <c r="BX62" s="4" t="n">
        <f aca="false">BW62/$BW$26</f>
        <v>0.00033920608</v>
      </c>
      <c r="CB62" s="1" t="n">
        <f aca="false">CB60/CB61</f>
        <v>-11.08154</v>
      </c>
      <c r="CC62" s="1" t="n">
        <f aca="false">CC60/CC61</f>
        <v>0</v>
      </c>
      <c r="CF62" s="1" t="n">
        <v>40</v>
      </c>
      <c r="CG62" s="1" t="n">
        <v>45</v>
      </c>
      <c r="CH62" s="1" t="n">
        <v>31096.81</v>
      </c>
      <c r="CI62" s="1" t="n">
        <v>0.0177</v>
      </c>
      <c r="CJ62" s="1" t="n">
        <v>1711975</v>
      </c>
      <c r="CK62" s="1" t="n">
        <v>0.9734</v>
      </c>
    </row>
    <row r="63" customFormat="false" ht="16" hidden="false" customHeight="true" outlineLevel="0" collapsed="false">
      <c r="A63" s="1" t="n">
        <v>47.5</v>
      </c>
      <c r="B63" s="1" t="n">
        <v>6446</v>
      </c>
      <c r="C63" s="1" t="n">
        <v>12544</v>
      </c>
      <c r="D63" s="1" t="n">
        <v>1059</v>
      </c>
      <c r="E63" s="1" t="n">
        <v>0</v>
      </c>
      <c r="F63" s="1" t="n">
        <f aca="false">SUM(B63:E63)</f>
        <v>20049</v>
      </c>
      <c r="G63" s="1"/>
      <c r="H63" s="1" t="n">
        <v>19</v>
      </c>
      <c r="I63" s="1"/>
      <c r="J63" s="1"/>
      <c r="K63" s="1"/>
      <c r="L63" s="1"/>
      <c r="M63" s="1"/>
      <c r="N63" s="1"/>
      <c r="O63" s="1"/>
      <c r="P63" s="1"/>
      <c r="Q63" s="1" t="n">
        <v>19</v>
      </c>
      <c r="R63" s="3" t="n">
        <f aca="false">B63/$Q63</f>
        <v>339.26316</v>
      </c>
      <c r="S63" s="3" t="n">
        <f aca="false">C63/$Q63</f>
        <v>660.21053</v>
      </c>
      <c r="T63" s="3" t="n">
        <f aca="false">D63/$Q63</f>
        <v>55.736842</v>
      </c>
      <c r="U63" s="3" t="n">
        <f aca="false">E63/$Q63</f>
        <v>0</v>
      </c>
      <c r="V63" s="3" t="n">
        <f aca="false">F63/$Q63</f>
        <v>1055.2105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n">
        <v>45</v>
      </c>
      <c r="AK63" s="4" t="n">
        <f aca="false">R63/R$74</f>
        <v>0.0020195732</v>
      </c>
      <c r="AL63" s="4" t="n">
        <f aca="false">S63/S$74</f>
        <v>0.0024967596</v>
      </c>
      <c r="AM63" s="4" t="n">
        <f aca="false">T63/T$74</f>
        <v>0.0059340413</v>
      </c>
      <c r="AN63" s="4" t="n">
        <f aca="false">U63/U$74</f>
        <v>0</v>
      </c>
      <c r="AO63" s="4" t="e">
        <f aca="false">V63/V$74</f>
        <v>#DIV/0!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4" t="n">
        <f aca="false">AK63+BB62</f>
        <v>0.99567433</v>
      </c>
      <c r="BC63" s="4" t="n">
        <f aca="false">AL63+BC62</f>
        <v>0.99529576</v>
      </c>
      <c r="BD63" s="4" t="n">
        <f aca="false">AM63+BD62</f>
        <v>0.9587279</v>
      </c>
      <c r="BE63" s="4" t="n">
        <f aca="false">AN63+BE62</f>
        <v>1</v>
      </c>
      <c r="BF63" s="4" t="e">
        <f aca="false">AO63+BF62</f>
        <v>#DIV/0!</v>
      </c>
      <c r="BG63" s="4"/>
      <c r="BH63" s="4"/>
      <c r="BI63" s="4"/>
      <c r="BJ63" s="4"/>
      <c r="BK63" s="4"/>
      <c r="BL63" s="1"/>
      <c r="BM63" s="1"/>
      <c r="BN63" s="1"/>
      <c r="BO63" s="1"/>
      <c r="BP63" s="1"/>
      <c r="BQ63" s="1" t="n">
        <v>47.5</v>
      </c>
      <c r="BR63" s="4" t="n">
        <f aca="false">AN63</f>
        <v>0</v>
      </c>
      <c r="BS63" s="1" t="e">
        <f aca="false">LN(BR63)</f>
        <v>#VALUE!</v>
      </c>
      <c r="BT63" s="1" t="n">
        <f aca="false">BU63*BU63</f>
        <v>2256.25</v>
      </c>
      <c r="BU63" s="1" t="n">
        <f aca="false">BQ63</f>
        <v>47.5</v>
      </c>
      <c r="BV63" s="4" t="n">
        <f aca="false">SQRT(BQ63)</f>
        <v>6.8920244</v>
      </c>
      <c r="BW63" s="4" t="n">
        <f aca="false">EXP(+$CC$54+$CB$60*BU63+$CC$60*BU63)</f>
        <v>0.00012863519</v>
      </c>
      <c r="BX63" s="4" t="n">
        <f aca="false">BW63/$BW$26</f>
        <v>0.00013471897</v>
      </c>
      <c r="CF63" s="1" t="n">
        <v>45</v>
      </c>
      <c r="CG63" s="1" t="n">
        <v>50</v>
      </c>
      <c r="CH63" s="1" t="n">
        <v>20653.28</v>
      </c>
      <c r="CI63" s="1" t="n">
        <v>0.0117</v>
      </c>
      <c r="CJ63" s="1" t="n">
        <v>1732628</v>
      </c>
      <c r="CK63" s="1" t="n">
        <v>0.9852</v>
      </c>
    </row>
    <row r="64" customFormat="false" ht="16" hidden="false" customHeight="true" outlineLevel="0" collapsed="false">
      <c r="A64" s="1" t="n">
        <v>52.5</v>
      </c>
      <c r="B64" s="1" t="n">
        <v>2490</v>
      </c>
      <c r="C64" s="1" t="n">
        <v>4968</v>
      </c>
      <c r="D64" s="1" t="n">
        <v>2041</v>
      </c>
      <c r="E64" s="1" t="n">
        <v>0</v>
      </c>
      <c r="F64" s="1" t="n">
        <f aca="false">SUM(B64:E64)</f>
        <v>9499</v>
      </c>
      <c r="G64" s="1"/>
      <c r="H64" s="1" t="n">
        <v>21</v>
      </c>
      <c r="I64" s="1"/>
      <c r="J64" s="1"/>
      <c r="K64" s="1"/>
      <c r="L64" s="1"/>
      <c r="M64" s="1"/>
      <c r="N64" s="1"/>
      <c r="O64" s="1"/>
      <c r="P64" s="1"/>
      <c r="Q64" s="1" t="n">
        <v>21</v>
      </c>
      <c r="R64" s="3" t="n">
        <f aca="false">B64/$Q64</f>
        <v>118.57143</v>
      </c>
      <c r="S64" s="3" t="n">
        <f aca="false">C64/$Q64</f>
        <v>236.57143</v>
      </c>
      <c r="T64" s="3" t="n">
        <f aca="false">D64/$Q64</f>
        <v>97.190476</v>
      </c>
      <c r="U64" s="3" t="n">
        <f aca="false">E64/$Q64</f>
        <v>0</v>
      </c>
      <c r="V64" s="3" t="n">
        <f aca="false">F64/$Q64</f>
        <v>452.33333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n">
        <v>50</v>
      </c>
      <c r="AK64" s="4" t="n">
        <f aca="false">R64/R$74</f>
        <v>0.00070583462</v>
      </c>
      <c r="AL64" s="4" t="n">
        <f aca="false">S64/S$74</f>
        <v>0.00089465702</v>
      </c>
      <c r="AM64" s="4" t="n">
        <f aca="false">T64/T$74</f>
        <v>0.010347416</v>
      </c>
      <c r="AN64" s="4" t="n">
        <f aca="false">U64/U$74</f>
        <v>0</v>
      </c>
      <c r="AO64" s="4" t="e">
        <f aca="false">V64/V$74</f>
        <v>#DIV/0!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4" t="n">
        <f aca="false">AK64+BB63</f>
        <v>0.99638016</v>
      </c>
      <c r="BC64" s="4" t="n">
        <f aca="false">AL64+BC63</f>
        <v>0.99619042</v>
      </c>
      <c r="BD64" s="4" t="n">
        <f aca="false">AM64+BD63</f>
        <v>0.96907531</v>
      </c>
      <c r="BE64" s="4" t="n">
        <f aca="false">AN64+BE63</f>
        <v>1</v>
      </c>
      <c r="BF64" s="4" t="e">
        <f aca="false">AO64+BF63</f>
        <v>#DIV/0!</v>
      </c>
      <c r="BG64" s="4"/>
      <c r="BH64" s="4"/>
      <c r="BI64" s="4"/>
      <c r="BJ64" s="4"/>
      <c r="BK64" s="4"/>
      <c r="BL64" s="1"/>
      <c r="BM64" s="1"/>
      <c r="BN64" s="1"/>
      <c r="BO64" s="1"/>
      <c r="BP64" s="1"/>
      <c r="BQ64" s="1" t="n">
        <v>52.5</v>
      </c>
      <c r="BR64" s="4" t="n">
        <f aca="false">AN64</f>
        <v>0</v>
      </c>
      <c r="BS64" s="1" t="e">
        <f aca="false">LN(BR64)</f>
        <v>#VALUE!</v>
      </c>
      <c r="BT64" s="1" t="n">
        <f aca="false">BU64*BU64</f>
        <v>2756.25</v>
      </c>
      <c r="BU64" s="1" t="n">
        <f aca="false">BQ64</f>
        <v>52.5</v>
      </c>
      <c r="BV64" s="4" t="n">
        <f aca="false">SQRT(BQ64)</f>
        <v>7.2456884</v>
      </c>
      <c r="BW64" s="4" t="n">
        <f aca="false">EXP(+$CC$54+$CB$60*BU64+$CC$60*BU64)</f>
        <v>5.1088708E-005</v>
      </c>
      <c r="BX64" s="4" t="n">
        <f aca="false">BW64/$BW$26</f>
        <v>5.3504936E-005</v>
      </c>
      <c r="CF64" s="1" t="n">
        <v>50</v>
      </c>
      <c r="CG64" s="1" t="n">
        <v>55</v>
      </c>
      <c r="CH64" s="1" t="n">
        <v>13968</v>
      </c>
      <c r="CI64" s="1" t="n">
        <v>0.0079</v>
      </c>
      <c r="CJ64" s="1" t="n">
        <v>1746596</v>
      </c>
      <c r="CK64" s="1" t="n">
        <v>0.9931</v>
      </c>
    </row>
    <row r="65" customFormat="false" ht="16" hidden="false" customHeight="true" outlineLevel="0" collapsed="false">
      <c r="A65" s="1" t="n">
        <v>57.5</v>
      </c>
      <c r="B65" s="1" t="n">
        <v>7285</v>
      </c>
      <c r="C65" s="1" t="n">
        <v>10978</v>
      </c>
      <c r="D65" s="1" t="n">
        <v>3080</v>
      </c>
      <c r="E65" s="1" t="n">
        <v>0</v>
      </c>
      <c r="F65" s="1" t="n">
        <f aca="false">SUM(B65:E65)</f>
        <v>21343</v>
      </c>
      <c r="G65" s="1"/>
      <c r="H65" s="1" t="n">
        <v>23</v>
      </c>
      <c r="I65" s="1"/>
      <c r="J65" s="1"/>
      <c r="K65" s="1"/>
      <c r="L65" s="1"/>
      <c r="M65" s="1"/>
      <c r="N65" s="1"/>
      <c r="O65" s="1"/>
      <c r="P65" s="1"/>
      <c r="Q65" s="1" t="n">
        <v>23</v>
      </c>
      <c r="R65" s="3" t="n">
        <f aca="false">B65/$Q65</f>
        <v>316.73913</v>
      </c>
      <c r="S65" s="3" t="n">
        <f aca="false">C65/$Q65</f>
        <v>477.30435</v>
      </c>
      <c r="T65" s="3" t="n">
        <f aca="false">D65/$Q65</f>
        <v>133.91304</v>
      </c>
      <c r="U65" s="3" t="n">
        <f aca="false">E65/$Q65</f>
        <v>0</v>
      </c>
      <c r="V65" s="3" t="n">
        <f aca="false">F65/$Q65</f>
        <v>927.95652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n">
        <v>55</v>
      </c>
      <c r="AK65" s="4" t="n">
        <f aca="false">R65/R$74</f>
        <v>0.0018854917</v>
      </c>
      <c r="AL65" s="4" t="n">
        <f aca="false">S65/S$74</f>
        <v>0.0018050518</v>
      </c>
      <c r="AM65" s="4" t="n">
        <f aca="false">T65/T$74</f>
        <v>0.014257096</v>
      </c>
      <c r="AN65" s="4" t="n">
        <f aca="false">U65/U$74</f>
        <v>0</v>
      </c>
      <c r="AO65" s="4" t="e">
        <f aca="false">V65/V$74</f>
        <v>#DIV/0!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4" t="n">
        <f aca="false">AK65+BB64</f>
        <v>0.99826565</v>
      </c>
      <c r="BC65" s="4" t="n">
        <f aca="false">AL65+BC64</f>
        <v>0.99799547</v>
      </c>
      <c r="BD65" s="4" t="n">
        <f aca="false">AM65+BD64</f>
        <v>0.98333241</v>
      </c>
      <c r="BE65" s="4" t="n">
        <f aca="false">AN65+BE64</f>
        <v>1</v>
      </c>
      <c r="BF65" s="4" t="e">
        <f aca="false">AO65+BF64</f>
        <v>#DIV/0!</v>
      </c>
      <c r="BG65" s="4"/>
      <c r="BH65" s="4"/>
      <c r="BI65" s="4"/>
      <c r="BJ65" s="4"/>
      <c r="BK65" s="4"/>
      <c r="BL65" s="1"/>
      <c r="BM65" s="1"/>
      <c r="BN65" s="1"/>
      <c r="BO65" s="1"/>
      <c r="BP65" s="1"/>
      <c r="BQ65" s="1" t="n">
        <v>57.5</v>
      </c>
      <c r="BR65" s="4" t="n">
        <f aca="false">AN65</f>
        <v>0</v>
      </c>
      <c r="BS65" s="1" t="e">
        <f aca="false">LN(BR65)</f>
        <v>#VALUE!</v>
      </c>
      <c r="BT65" s="1" t="n">
        <f aca="false">BU65*BU65</f>
        <v>3306.25</v>
      </c>
      <c r="BU65" s="1" t="n">
        <f aca="false">BQ65</f>
        <v>57.5</v>
      </c>
      <c r="BV65" s="4" t="n">
        <f aca="false">SQRT(BQ65)</f>
        <v>7.5828754</v>
      </c>
      <c r="BW65" s="4" t="n">
        <f aca="false">EXP(+$CC$54+$CB$60*BU65+$CC$60*BU65)</f>
        <v>2.0290373E-005</v>
      </c>
      <c r="BX65" s="4" t="n">
        <f aca="false">BW65/$BW$26</f>
        <v>2.1250001E-005</v>
      </c>
      <c r="CF65" s="1" t="n">
        <v>55</v>
      </c>
      <c r="CG65" s="1" t="n">
        <v>60</v>
      </c>
      <c r="CH65" s="1" t="n">
        <v>9069.253</v>
      </c>
      <c r="CI65" s="1" t="n">
        <v>0.0052</v>
      </c>
      <c r="CJ65" s="1" t="n">
        <v>1755666</v>
      </c>
      <c r="CK65" s="1" t="n">
        <v>0.9983</v>
      </c>
    </row>
    <row r="66" customFormat="false" ht="16" hidden="false" customHeight="true" outlineLevel="0" collapsed="false">
      <c r="A66" s="1" t="n">
        <v>62.5</v>
      </c>
      <c r="B66" s="1" t="n">
        <v>2108</v>
      </c>
      <c r="C66" s="1" t="n">
        <v>1882</v>
      </c>
      <c r="D66" s="1" t="n">
        <v>776</v>
      </c>
      <c r="E66" s="1" t="n">
        <v>0</v>
      </c>
      <c r="F66" s="1" t="n">
        <f aca="false">SUM(B66:E66)</f>
        <v>4766</v>
      </c>
      <c r="G66" s="1"/>
      <c r="H66" s="1" t="n">
        <v>25</v>
      </c>
      <c r="I66" s="1"/>
      <c r="J66" s="1"/>
      <c r="K66" s="1"/>
      <c r="L66" s="1"/>
      <c r="M66" s="1"/>
      <c r="N66" s="1"/>
      <c r="O66" s="1"/>
      <c r="P66" s="1"/>
      <c r="Q66" s="1" t="n">
        <v>25</v>
      </c>
      <c r="R66" s="3" t="n">
        <f aca="false">B66/$Q66</f>
        <v>84.32</v>
      </c>
      <c r="S66" s="3" t="n">
        <f aca="false">C66/$Q66</f>
        <v>75.28</v>
      </c>
      <c r="T66" s="3" t="n">
        <f aca="false">D66/$Q66</f>
        <v>31.04</v>
      </c>
      <c r="U66" s="3" t="n">
        <f aca="false">E66/$Q66</f>
        <v>0</v>
      </c>
      <c r="V66" s="3" t="n">
        <f aca="false">F66/$Q66</f>
        <v>190.64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n">
        <v>60</v>
      </c>
      <c r="AK66" s="4" t="n">
        <f aca="false">R66/R$74</f>
        <v>0.00050194196</v>
      </c>
      <c r="AL66" s="4" t="n">
        <f aca="false">S66/S$74</f>
        <v>0.0002846911</v>
      </c>
      <c r="AM66" s="4" t="n">
        <f aca="false">T66/T$74</f>
        <v>0.0033046839</v>
      </c>
      <c r="AN66" s="4" t="n">
        <f aca="false">U66/U$74</f>
        <v>0</v>
      </c>
      <c r="AO66" s="4" t="e">
        <f aca="false">V66/V$74</f>
        <v>#DIV/0!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4" t="n">
        <f aca="false">AK66+BB65</f>
        <v>0.99876759</v>
      </c>
      <c r="BC66" s="4" t="n">
        <f aca="false">AL66+BC65</f>
        <v>0.99828016</v>
      </c>
      <c r="BD66" s="4" t="n">
        <f aca="false">AM66+BD65</f>
        <v>0.98663709</v>
      </c>
      <c r="BE66" s="4" t="n">
        <f aca="false">AN66+BE65</f>
        <v>1</v>
      </c>
      <c r="BF66" s="4" t="e">
        <f aca="false">AO66+BF65</f>
        <v>#DIV/0!</v>
      </c>
      <c r="BG66" s="4"/>
      <c r="BH66" s="4"/>
      <c r="BI66" s="4"/>
      <c r="BJ66" s="4"/>
      <c r="BK66" s="4"/>
      <c r="BL66" s="1"/>
      <c r="BM66" s="1"/>
      <c r="BN66" s="1"/>
      <c r="BO66" s="1"/>
      <c r="BP66" s="1"/>
      <c r="BQ66" s="1" t="n">
        <v>62.5</v>
      </c>
      <c r="BR66" s="4" t="n">
        <f aca="false">AN66</f>
        <v>0</v>
      </c>
      <c r="BS66" s="1" t="e">
        <f aca="false">LN(BR66)</f>
        <v>#VALUE!</v>
      </c>
      <c r="BT66" s="1" t="n">
        <f aca="false">BU66*BU66</f>
        <v>3906.25</v>
      </c>
      <c r="BU66" s="1" t="n">
        <f aca="false">BQ66</f>
        <v>62.5</v>
      </c>
      <c r="BV66" s="4" t="n">
        <f aca="false">SQRT(BQ66)</f>
        <v>7.9056942</v>
      </c>
      <c r="BW66" s="4" t="n">
        <f aca="false">EXP(+$CC$54+$CB$60*BU66+$CC$60*BU66)</f>
        <v>8.0585173E-006</v>
      </c>
      <c r="BX66" s="4" t="n">
        <f aca="false">BW66/$BW$26</f>
        <v>8.4396429E-006</v>
      </c>
      <c r="CF66" s="1" t="n">
        <v>60</v>
      </c>
      <c r="CG66" s="1" t="n">
        <v>65</v>
      </c>
      <c r="CH66" s="1" t="n">
        <v>1993.559</v>
      </c>
      <c r="CI66" s="1" t="n">
        <v>0.0011</v>
      </c>
      <c r="CJ66" s="1" t="n">
        <v>1757659</v>
      </c>
      <c r="CK66" s="1" t="n">
        <v>0.9994</v>
      </c>
    </row>
    <row r="67" customFormat="false" ht="16" hidden="false" customHeight="true" outlineLevel="0" collapsed="false">
      <c r="A67" s="1" t="n">
        <v>67.5</v>
      </c>
      <c r="B67" s="1" t="n">
        <v>906</v>
      </c>
      <c r="C67" s="1" t="n">
        <v>3359</v>
      </c>
      <c r="D67" s="1" t="n">
        <v>1555</v>
      </c>
      <c r="E67" s="1" t="n">
        <v>0</v>
      </c>
      <c r="F67" s="1" t="n">
        <f aca="false">SUM(B67:E67)</f>
        <v>5820</v>
      </c>
      <c r="G67" s="1"/>
      <c r="H67" s="1" t="n">
        <v>27</v>
      </c>
      <c r="I67" s="1"/>
      <c r="J67" s="1"/>
      <c r="K67" s="1"/>
      <c r="L67" s="1"/>
      <c r="M67" s="1"/>
      <c r="N67" s="1"/>
      <c r="O67" s="1"/>
      <c r="P67" s="1"/>
      <c r="Q67" s="1" t="n">
        <v>27</v>
      </c>
      <c r="R67" s="3" t="n">
        <f aca="false">B67/$Q67</f>
        <v>33.555556</v>
      </c>
      <c r="S67" s="3" t="n">
        <f aca="false">C67/$Q67</f>
        <v>124.40741</v>
      </c>
      <c r="T67" s="3" t="n">
        <f aca="false">D67/$Q67</f>
        <v>57.592593</v>
      </c>
      <c r="U67" s="3" t="n">
        <f aca="false">E67/$Q67</f>
        <v>0</v>
      </c>
      <c r="V67" s="3" t="n">
        <f aca="false">F67/$Q67</f>
        <v>215.55556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n">
        <v>65</v>
      </c>
      <c r="AK67" s="4" t="n">
        <f aca="false">R67/R$74</f>
        <v>0.00019975025</v>
      </c>
      <c r="AL67" s="4" t="n">
        <f aca="false">S67/S$74</f>
        <v>0.0004704793</v>
      </c>
      <c r="AM67" s="4" t="n">
        <f aca="false">T67/T$74</f>
        <v>0.0061316144</v>
      </c>
      <c r="AN67" s="4" t="n">
        <f aca="false">U67/U$74</f>
        <v>0</v>
      </c>
      <c r="AO67" s="4" t="e">
        <f aca="false">V67/V$74</f>
        <v>#DIV/0!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4" t="n">
        <f aca="false">AK67+BB66</f>
        <v>0.99896735</v>
      </c>
      <c r="BC67" s="4" t="n">
        <f aca="false">AL67+BC66</f>
        <v>0.99875064</v>
      </c>
      <c r="BD67" s="4" t="n">
        <f aca="false">AM67+BD66</f>
        <v>0.99276871</v>
      </c>
      <c r="BE67" s="4" t="n">
        <f aca="false">AN67+BE66</f>
        <v>1</v>
      </c>
      <c r="BF67" s="4" t="e">
        <f aca="false">AO67+BF66</f>
        <v>#DIV/0!</v>
      </c>
      <c r="BG67" s="4"/>
      <c r="BH67" s="4"/>
      <c r="BI67" s="4"/>
      <c r="BJ67" s="4"/>
      <c r="BK67" s="4"/>
      <c r="BL67" s="1"/>
      <c r="BM67" s="1"/>
      <c r="BN67" s="1"/>
      <c r="BO67" s="1"/>
      <c r="BP67" s="1"/>
      <c r="BQ67" s="1" t="n">
        <v>67.5</v>
      </c>
      <c r="BR67" s="4" t="n">
        <f aca="false">AN67</f>
        <v>0</v>
      </c>
      <c r="BS67" s="1" t="e">
        <f aca="false">LN(BR67)</f>
        <v>#VALUE!</v>
      </c>
      <c r="BT67" s="1" t="n">
        <f aca="false">BU67*BU67</f>
        <v>4556.25</v>
      </c>
      <c r="BU67" s="1" t="n">
        <f aca="false">BQ67</f>
        <v>67.5</v>
      </c>
      <c r="BV67" s="4" t="n">
        <f aca="false">SQRT(BQ67)</f>
        <v>8.2158384</v>
      </c>
      <c r="BW67" s="4" t="n">
        <f aca="false">EXP(+$CC$54+$CB$60*BU67+$CC$60*BU67)</f>
        <v>3.2005178E-006</v>
      </c>
      <c r="BX67" s="4" t="n">
        <f aca="false">BW67/$BW$26</f>
        <v>3.3518856E-006</v>
      </c>
      <c r="CF67" s="1" t="n">
        <v>65</v>
      </c>
      <c r="CG67" s="1" t="n">
        <v>70</v>
      </c>
      <c r="CH67" s="1" t="n">
        <v>473.2897</v>
      </c>
      <c r="CI67" s="1" t="n">
        <v>0.0003</v>
      </c>
      <c r="CJ67" s="1" t="n">
        <v>1758132</v>
      </c>
      <c r="CK67" s="1" t="n">
        <v>0.9997</v>
      </c>
    </row>
    <row r="68" customFormat="false" ht="16" hidden="false" customHeight="true" outlineLevel="0" collapsed="false">
      <c r="A68" s="1" t="n">
        <v>72.5</v>
      </c>
      <c r="B68" s="1" t="n">
        <v>1857</v>
      </c>
      <c r="C68" s="1" t="n">
        <v>4336</v>
      </c>
      <c r="D68" s="1" t="n">
        <v>1122</v>
      </c>
      <c r="E68" s="1" t="n">
        <v>0</v>
      </c>
      <c r="F68" s="1" t="n">
        <f aca="false">SUM(B68:E68)</f>
        <v>7315</v>
      </c>
      <c r="G68" s="1"/>
      <c r="H68" s="1" t="n">
        <v>29</v>
      </c>
      <c r="I68" s="1"/>
      <c r="J68" s="1"/>
      <c r="K68" s="1"/>
      <c r="L68" s="1"/>
      <c r="M68" s="1"/>
      <c r="N68" s="1"/>
      <c r="O68" s="1"/>
      <c r="P68" s="1"/>
      <c r="Q68" s="1" t="n">
        <v>29</v>
      </c>
      <c r="R68" s="3" t="n">
        <f aca="false">B68/$Q68</f>
        <v>64.034483</v>
      </c>
      <c r="S68" s="3" t="n">
        <f aca="false">C68/$Q68</f>
        <v>149.51724</v>
      </c>
      <c r="T68" s="3" t="n">
        <f aca="false">D68/$Q68</f>
        <v>38.689655</v>
      </c>
      <c r="U68" s="3" t="n">
        <f aca="false">E68/$Q68</f>
        <v>0</v>
      </c>
      <c r="V68" s="3" t="n">
        <f aca="false">F68/$Q68</f>
        <v>252.24138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n">
        <v>70</v>
      </c>
      <c r="AK68" s="4" t="n">
        <f aca="false">R68/R$74</f>
        <v>0.00038118588</v>
      </c>
      <c r="AL68" s="4" t="n">
        <f aca="false">S68/S$74</f>
        <v>0.00056543874</v>
      </c>
      <c r="AM68" s="4" t="n">
        <f aca="false">T68/T$74</f>
        <v>0.0041191069</v>
      </c>
      <c r="AN68" s="4" t="n">
        <f aca="false">U68/U$74</f>
        <v>0</v>
      </c>
      <c r="AO68" s="4" t="e">
        <f aca="false">V68/V$74</f>
        <v>#DIV/0!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4" t="n">
        <f aca="false">AK68+BB67</f>
        <v>0.99934853</v>
      </c>
      <c r="BC68" s="4" t="n">
        <f aca="false">AL68+BC67</f>
        <v>0.99931608</v>
      </c>
      <c r="BD68" s="4" t="n">
        <f aca="false">AM68+BD67</f>
        <v>0.99688781</v>
      </c>
      <c r="BE68" s="4" t="n">
        <f aca="false">AN68+BE67</f>
        <v>1</v>
      </c>
      <c r="BF68" s="4" t="e">
        <f aca="false">AO68+BF67</f>
        <v>#DIV/0!</v>
      </c>
      <c r="BG68" s="4"/>
      <c r="BH68" s="4"/>
      <c r="BI68" s="4"/>
      <c r="BJ68" s="4"/>
      <c r="BK68" s="4"/>
      <c r="BL68" s="1"/>
      <c r="BM68" s="1"/>
      <c r="BN68" s="1"/>
      <c r="BO68" s="1"/>
      <c r="BP68" s="1"/>
      <c r="BQ68" s="1" t="n">
        <v>72.5</v>
      </c>
      <c r="BR68" s="4" t="n">
        <f aca="false">AN68</f>
        <v>0</v>
      </c>
      <c r="BS68" s="1" t="e">
        <f aca="false">LN(BR68)</f>
        <v>#VALUE!</v>
      </c>
      <c r="BT68" s="1" t="n">
        <f aca="false">BU68*BU68</f>
        <v>5256.25</v>
      </c>
      <c r="BU68" s="1" t="n">
        <f aca="false">BQ68</f>
        <v>72.5</v>
      </c>
      <c r="BV68" s="4" t="n">
        <f aca="false">SQRT(BQ68)</f>
        <v>8.5146932</v>
      </c>
      <c r="BW68" s="4" t="n">
        <f aca="false">EXP(+$CC$54+$CB$60*BU68+$CC$60*BU68)</f>
        <v>1.2711165E-006</v>
      </c>
      <c r="BX68" s="4" t="n">
        <f aca="false">BW68/$BW$26</f>
        <v>1.3312337E-006</v>
      </c>
      <c r="CF68" s="1" t="n">
        <v>70</v>
      </c>
      <c r="CG68" s="1" t="n">
        <v>75</v>
      </c>
      <c r="CH68" s="1" t="n">
        <v>221.3114</v>
      </c>
      <c r="CI68" s="1" t="n">
        <v>0.0001</v>
      </c>
      <c r="CJ68" s="1" t="n">
        <v>1758354</v>
      </c>
      <c r="CK68" s="1" t="n">
        <v>0.9998</v>
      </c>
    </row>
    <row r="69" customFormat="false" ht="16" hidden="false" customHeight="true" outlineLevel="0" collapsed="false">
      <c r="A69" s="1" t="n">
        <v>77.5</v>
      </c>
      <c r="B69" s="1" t="n">
        <v>1262</v>
      </c>
      <c r="C69" s="1" t="n">
        <v>2575</v>
      </c>
      <c r="D69" s="1" t="n">
        <v>418</v>
      </c>
      <c r="E69" s="1" t="n">
        <v>0</v>
      </c>
      <c r="F69" s="1" t="n">
        <f aca="false">SUM(B69:E69)</f>
        <v>4255</v>
      </c>
      <c r="G69" s="1"/>
      <c r="H69" s="1" t="n">
        <v>31</v>
      </c>
      <c r="I69" s="1"/>
      <c r="J69" s="1"/>
      <c r="K69" s="1"/>
      <c r="L69" s="1"/>
      <c r="M69" s="1"/>
      <c r="N69" s="1"/>
      <c r="O69" s="1"/>
      <c r="P69" s="1"/>
      <c r="Q69" s="1" t="n">
        <v>31</v>
      </c>
      <c r="R69" s="3" t="n">
        <f aca="false">B69/$Q69</f>
        <v>40.709677</v>
      </c>
      <c r="S69" s="3" t="n">
        <f aca="false">C69/$Q69</f>
        <v>83.064516</v>
      </c>
      <c r="T69" s="3" t="n">
        <f aca="false">D69/$Q69</f>
        <v>13.483871</v>
      </c>
      <c r="U69" s="3" t="n">
        <f aca="false">E69/$Q69</f>
        <v>0</v>
      </c>
      <c r="V69" s="3" t="n">
        <f aca="false">F69/$Q69</f>
        <v>137.25806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n">
        <v>75</v>
      </c>
      <c r="AK69" s="4" t="n">
        <f aca="false">R69/R$74</f>
        <v>0.00024233747</v>
      </c>
      <c r="AL69" s="4" t="n">
        <f aca="false">S69/S$74</f>
        <v>0.00031413029</v>
      </c>
      <c r="AM69" s="4" t="n">
        <f aca="false">T69/T$74</f>
        <v>0.0014355648</v>
      </c>
      <c r="AN69" s="4" t="n">
        <f aca="false">U69/U$74</f>
        <v>0</v>
      </c>
      <c r="AO69" s="4" t="e">
        <f aca="false">V69/V$74</f>
        <v>#DIV/0!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4" t="n">
        <f aca="false">AK69+BB68</f>
        <v>0.99959087</v>
      </c>
      <c r="BC69" s="4" t="n">
        <f aca="false">AL69+BC68</f>
        <v>0.99963021</v>
      </c>
      <c r="BD69" s="4" t="n">
        <f aca="false">AM69+BD68</f>
        <v>0.99832338</v>
      </c>
      <c r="BE69" s="4" t="n">
        <f aca="false">AN69+BE68</f>
        <v>1</v>
      </c>
      <c r="BF69" s="4" t="e">
        <f aca="false">AO69+BF68</f>
        <v>#DIV/0!</v>
      </c>
      <c r="BG69" s="4"/>
      <c r="BH69" s="4"/>
      <c r="BI69" s="4"/>
      <c r="BJ69" s="4"/>
      <c r="BK69" s="4"/>
      <c r="BL69" s="1"/>
      <c r="BM69" s="1"/>
      <c r="BN69" s="1"/>
      <c r="BO69" s="1"/>
      <c r="BP69" s="1"/>
      <c r="BQ69" s="1" t="n">
        <v>77.5</v>
      </c>
      <c r="BR69" s="4" t="n">
        <f aca="false">AN69</f>
        <v>0</v>
      </c>
      <c r="BS69" s="1" t="e">
        <f aca="false">LN(BR69)</f>
        <v>#VALUE!</v>
      </c>
      <c r="BT69" s="1" t="n">
        <f aca="false">BU69*BU69</f>
        <v>6006.25</v>
      </c>
      <c r="BU69" s="1" t="n">
        <f aca="false">BQ69</f>
        <v>77.5</v>
      </c>
      <c r="BV69" s="4" t="n">
        <f aca="false">SQRT(BQ69)</f>
        <v>8.8034084</v>
      </c>
      <c r="BW69" s="4" t="n">
        <f aca="false">EXP(+$CC$54+$CB$60*BU69+$CC$60*BU69)</f>
        <v>5.0483618E-007</v>
      </c>
      <c r="BX69" s="4" t="n">
        <f aca="false">BW69/$BW$26</f>
        <v>5.2871229E-007</v>
      </c>
      <c r="CF69" s="1" t="n">
        <v>75</v>
      </c>
      <c r="CG69" s="1" t="n">
        <v>80</v>
      </c>
      <c r="CH69" s="1" t="n">
        <v>138.729</v>
      </c>
      <c r="CI69" s="1" t="n">
        <v>0.0001</v>
      </c>
      <c r="CJ69" s="1" t="n">
        <v>1758492</v>
      </c>
      <c r="CK69" s="1" t="n">
        <v>0.9999</v>
      </c>
    </row>
    <row r="70" customFormat="false" ht="16" hidden="false" customHeight="true" outlineLevel="0" collapsed="false">
      <c r="A70" s="1" t="n">
        <v>82.5</v>
      </c>
      <c r="B70" s="1" t="n">
        <v>190</v>
      </c>
      <c r="C70" s="1" t="n">
        <v>534</v>
      </c>
      <c r="D70" s="1" t="n">
        <v>234</v>
      </c>
      <c r="E70" s="1" t="n">
        <v>0</v>
      </c>
      <c r="F70" s="1" t="n">
        <f aca="false">SUM(B70:E70)</f>
        <v>958</v>
      </c>
      <c r="G70" s="1"/>
      <c r="H70" s="1" t="n">
        <v>33</v>
      </c>
      <c r="I70" s="1"/>
      <c r="J70" s="1"/>
      <c r="K70" s="1"/>
      <c r="L70" s="1"/>
      <c r="M70" s="1"/>
      <c r="N70" s="1"/>
      <c r="O70" s="1"/>
      <c r="P70" s="1"/>
      <c r="Q70" s="1" t="n">
        <v>33</v>
      </c>
      <c r="R70" s="3" t="n">
        <f aca="false">B70/$Q70</f>
        <v>5.7575758</v>
      </c>
      <c r="S70" s="3" t="n">
        <f aca="false">C70/$Q70</f>
        <v>16.181818</v>
      </c>
      <c r="T70" s="3" t="n">
        <f aca="false">D70/$Q70</f>
        <v>7.0909091</v>
      </c>
      <c r="U70" s="3" t="n">
        <f aca="false">E70/$Q70</f>
        <v>0</v>
      </c>
      <c r="V70" s="3" t="n">
        <f aca="false">F70/$Q70</f>
        <v>29.030303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n">
        <v>80</v>
      </c>
      <c r="AK70" s="4" t="n">
        <f aca="false">R70/R$74</f>
        <v>3.4273824E-005</v>
      </c>
      <c r="AL70" s="4" t="n">
        <f aca="false">S70/S$74</f>
        <v>6.1195797E-005</v>
      </c>
      <c r="AM70" s="4" t="n">
        <f aca="false">T70/T$74</f>
        <v>0.00075493598</v>
      </c>
      <c r="AN70" s="4" t="n">
        <f aca="false">U70/U$74</f>
        <v>0</v>
      </c>
      <c r="AO70" s="4" t="e">
        <f aca="false">V70/V$74</f>
        <v>#DIV/0!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4" t="n">
        <f aca="false">AK70+BB69</f>
        <v>0.99962514</v>
      </c>
      <c r="BC70" s="4" t="n">
        <f aca="false">AL70+BC69</f>
        <v>0.99969141</v>
      </c>
      <c r="BD70" s="4" t="n">
        <f aca="false">AM70+BD69</f>
        <v>0.99907831</v>
      </c>
      <c r="BE70" s="4" t="n">
        <f aca="false">AN70+BE69</f>
        <v>1</v>
      </c>
      <c r="BF70" s="4" t="e">
        <f aca="false">AO70+BF69</f>
        <v>#DIV/0!</v>
      </c>
      <c r="BG70" s="4"/>
      <c r="BH70" s="4"/>
      <c r="BI70" s="4"/>
      <c r="BJ70" s="4"/>
      <c r="BK70" s="4"/>
      <c r="BL70" s="1"/>
      <c r="BM70" s="1"/>
      <c r="BN70" s="1"/>
      <c r="BO70" s="1"/>
      <c r="BP70" s="1"/>
      <c r="BQ70" s="1" t="n">
        <v>82.5</v>
      </c>
      <c r="BR70" s="4" t="n">
        <f aca="false">AN70</f>
        <v>0</v>
      </c>
      <c r="BS70" s="1" t="e">
        <f aca="false">LN(BR70)</f>
        <v>#VALUE!</v>
      </c>
      <c r="BT70" s="1" t="n">
        <f aca="false">BU70*BU70</f>
        <v>6806.25</v>
      </c>
      <c r="BU70" s="1" t="n">
        <f aca="false">BQ70</f>
        <v>82.5</v>
      </c>
      <c r="BV70" s="4" t="n">
        <f aca="false">SQRT(BQ70)</f>
        <v>9.0829511</v>
      </c>
      <c r="BW70" s="4" t="n">
        <f aca="false">EXP(+$CC$54+$CB$60*BU70+$CC$60*BU70)</f>
        <v>2.0050056E-007</v>
      </c>
      <c r="BX70" s="4" t="n">
        <f aca="false">BW70/$BW$26</f>
        <v>2.0998318E-007</v>
      </c>
      <c r="CF70" s="1" t="n">
        <v>80</v>
      </c>
      <c r="CG70" s="1" t="n">
        <v>85</v>
      </c>
      <c r="CH70" s="1" t="n">
        <v>69.48059</v>
      </c>
      <c r="CI70" s="1" t="n">
        <v>0</v>
      </c>
      <c r="CJ70" s="1" t="n">
        <v>1758562</v>
      </c>
      <c r="CK70" s="1" t="n">
        <v>0.9999</v>
      </c>
    </row>
    <row r="71" customFormat="false" ht="16" hidden="false" customHeight="true" outlineLevel="0" collapsed="false">
      <c r="A71" s="1" t="n">
        <v>87.5</v>
      </c>
      <c r="B71" s="1" t="n">
        <v>2204</v>
      </c>
      <c r="C71" s="1" t="n">
        <v>2856</v>
      </c>
      <c r="D71" s="1" t="n">
        <v>303</v>
      </c>
      <c r="E71" s="1" t="n">
        <v>0</v>
      </c>
      <c r="F71" s="1" t="n">
        <f aca="false">SUM(B71:E71)</f>
        <v>5363</v>
      </c>
      <c r="G71" s="1"/>
      <c r="H71" s="1" t="n">
        <v>35</v>
      </c>
      <c r="I71" s="1"/>
      <c r="J71" s="1"/>
      <c r="K71" s="1"/>
      <c r="L71" s="1"/>
      <c r="M71" s="1"/>
      <c r="N71" s="1"/>
      <c r="O71" s="1"/>
      <c r="P71" s="1"/>
      <c r="Q71" s="1" t="n">
        <v>35</v>
      </c>
      <c r="R71" s="3" t="n">
        <f aca="false">B71/$Q71</f>
        <v>62.971429</v>
      </c>
      <c r="S71" s="3" t="n">
        <f aca="false">C71/$Q71</f>
        <v>81.6</v>
      </c>
      <c r="T71" s="3" t="n">
        <f aca="false">D71/$Q71</f>
        <v>8.6571429</v>
      </c>
      <c r="U71" s="3" t="n">
        <f aca="false">E71/$Q71</f>
        <v>0</v>
      </c>
      <c r="V71" s="3" t="n">
        <f aca="false">F71/$Q71</f>
        <v>153.22857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n">
        <v>85</v>
      </c>
      <c r="AK71" s="4" t="n">
        <f aca="false">R71/R$74</f>
        <v>0.00037485771</v>
      </c>
      <c r="AL71" s="4" t="n">
        <f aca="false">S71/S$74</f>
        <v>0.00030859184</v>
      </c>
      <c r="AM71" s="4" t="n">
        <f aca="false">T71/T$74</f>
        <v>0.00092168557</v>
      </c>
      <c r="AN71" s="4" t="n">
        <f aca="false">U71/U$74</f>
        <v>0</v>
      </c>
      <c r="AO71" s="4" t="e">
        <f aca="false">V71/V$74</f>
        <v>#DIV/0!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4" t="n">
        <f aca="false">AK71+BB70</f>
        <v>1</v>
      </c>
      <c r="BC71" s="4" t="n">
        <f aca="false">AL71+BC70</f>
        <v>1</v>
      </c>
      <c r="BD71" s="4" t="n">
        <f aca="false">AM71+BD70</f>
        <v>1</v>
      </c>
      <c r="BE71" s="4" t="n">
        <f aca="false">AN71+BE70</f>
        <v>1</v>
      </c>
      <c r="BF71" s="4" t="e">
        <f aca="false">AO71+BF70</f>
        <v>#DIV/0!</v>
      </c>
      <c r="BG71" s="4"/>
      <c r="BH71" s="4"/>
      <c r="BI71" s="4"/>
      <c r="BJ71" s="4"/>
      <c r="BK71" s="4"/>
      <c r="BL71" s="1"/>
      <c r="BM71" s="1"/>
      <c r="BN71" s="1"/>
      <c r="BO71" s="1"/>
      <c r="BP71" s="1"/>
      <c r="BQ71" s="1" t="n">
        <v>87.5</v>
      </c>
      <c r="BR71" s="4" t="n">
        <f aca="false">AN71</f>
        <v>0</v>
      </c>
      <c r="BS71" s="1" t="e">
        <f aca="false">LN(BR71)</f>
        <v>#VALUE!</v>
      </c>
      <c r="BT71" s="1" t="n">
        <f aca="false">BU71*BU71</f>
        <v>7656.25</v>
      </c>
      <c r="BU71" s="1" t="n">
        <f aca="false">BQ71</f>
        <v>87.5</v>
      </c>
      <c r="BV71" s="4" t="n">
        <f aca="false">SQRT(BQ71)</f>
        <v>9.3541435</v>
      </c>
      <c r="BW71" s="4" t="n">
        <f aca="false">EXP(+$CC$54+$CB$60*BU71+$CC$60*BU71)</f>
        <v>7.963073E-008</v>
      </c>
      <c r="BX71" s="4" t="n">
        <f aca="false">BW71/$BW$26</f>
        <v>8.3396846E-008</v>
      </c>
      <c r="CF71" s="1" t="n">
        <v>85</v>
      </c>
      <c r="CG71" s="1" t="n">
        <v>90</v>
      </c>
      <c r="CH71" s="1" t="n">
        <v>41.181</v>
      </c>
      <c r="CI71" s="1" t="n">
        <v>0</v>
      </c>
      <c r="CJ71" s="1" t="n">
        <v>1758603</v>
      </c>
      <c r="CK71" s="1" t="n">
        <v>0.9999</v>
      </c>
    </row>
    <row r="72" customFormat="false" ht="16" hidden="false" customHeight="true" outlineLevel="0" collapsed="false">
      <c r="A72" s="1" t="n">
        <v>90</v>
      </c>
      <c r="B72" s="1" t="n">
        <v>720</v>
      </c>
      <c r="C72" s="1" t="n">
        <v>314</v>
      </c>
      <c r="D72" s="1" t="n">
        <v>469</v>
      </c>
      <c r="E72" s="1" t="n">
        <v>0</v>
      </c>
      <c r="F72" s="1" t="n">
        <f aca="false">SUM(B72:E72)</f>
        <v>1503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n">
        <v>90</v>
      </c>
      <c r="AK72" s="4" t="n">
        <f aca="false">R72/R$74</f>
        <v>0</v>
      </c>
      <c r="AL72" s="4" t="n">
        <f aca="false">S72/S$74</f>
        <v>0</v>
      </c>
      <c r="AM72" s="4" t="n">
        <f aca="false">T72/T$74</f>
        <v>0</v>
      </c>
      <c r="AN72" s="4" t="n">
        <f aca="false">U72/U$74</f>
        <v>0</v>
      </c>
      <c r="AO72" s="4" t="e">
        <f aca="false">V72/V$74</f>
        <v>#DIV/0!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 t="n">
        <v>92.5</v>
      </c>
      <c r="BR72" s="4" t="n">
        <f aca="false">AN72</f>
        <v>0</v>
      </c>
      <c r="BS72" s="1" t="e">
        <f aca="false">LN(BR72)</f>
        <v>#VALUE!</v>
      </c>
      <c r="BT72" s="1" t="n">
        <f aca="false">BU72*BU72</f>
        <v>8556.25</v>
      </c>
      <c r="BU72" s="1" t="n">
        <f aca="false">BQ72</f>
        <v>92.5</v>
      </c>
      <c r="BV72" s="4" t="n">
        <f aca="false">SQRT(BQ72)</f>
        <v>9.617692</v>
      </c>
      <c r="BW72" s="4" t="n">
        <f aca="false">EXP(+$CC$54+$CB$60*BU72+$CC$60*BU72)</f>
        <v>3.1626112E-008</v>
      </c>
      <c r="BX72" s="4" t="n">
        <f aca="false">BW72/$BW$26</f>
        <v>3.3121862E-008</v>
      </c>
      <c r="CF72" s="1" t="n">
        <v>90</v>
      </c>
      <c r="CG72" s="1" t="n">
        <v>95</v>
      </c>
      <c r="CH72" s="1" t="n">
        <v>26.07014</v>
      </c>
      <c r="CI72" s="1" t="n">
        <v>0</v>
      </c>
      <c r="CJ72" s="1" t="n">
        <v>1758629</v>
      </c>
      <c r="CK72" s="1" t="n">
        <v>0.9999</v>
      </c>
    </row>
    <row r="73" customFormat="false" ht="16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4"/>
      <c r="BW73" s="4"/>
      <c r="BX73" s="4"/>
      <c r="CF73" s="1" t="n">
        <v>95</v>
      </c>
      <c r="CG73" s="1" t="n">
        <v>100</v>
      </c>
      <c r="CH73" s="1" t="n">
        <v>23.69958</v>
      </c>
      <c r="CI73" s="1" t="n">
        <v>0</v>
      </c>
      <c r="CJ73" s="1" t="n">
        <v>1758653</v>
      </c>
      <c r="CK73" s="1" t="n">
        <v>0.9999</v>
      </c>
    </row>
    <row r="74" customFormat="false" ht="16" hidden="false" customHeight="true" outlineLevel="0" collapsed="false">
      <c r="A74" s="1"/>
      <c r="B74" s="1" t="n">
        <f aca="false">SUM(B54:B73)</f>
        <v>478364</v>
      </c>
      <c r="C74" s="1" t="n">
        <f aca="false">SUM(C54:C73)</f>
        <v>754637</v>
      </c>
      <c r="D74" s="1" t="n">
        <f aca="false">SUM(D54:D73)</f>
        <v>46722</v>
      </c>
      <c r="E74" s="1" t="n">
        <f aca="false">SUM(E54:E73)</f>
        <v>62065</v>
      </c>
      <c r="F74" s="1" t="n">
        <f aca="false">SUM(F54:F73)</f>
        <v>1341788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 t="n">
        <f aca="false">SUM(R54:R73)</f>
        <v>167987.55</v>
      </c>
      <c r="S74" s="1" t="n">
        <f aca="false">SUM(S54:S73)</f>
        <v>264426.95</v>
      </c>
      <c r="T74" s="1" t="n">
        <f aca="false">SUM(T54:T73)</f>
        <v>9392.729</v>
      </c>
      <c r="U74" s="1" t="n">
        <f aca="false">SUM(U54:U73)</f>
        <v>29705.839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 t="n">
        <f aca="false">SUM(BR54:BR72)</f>
        <v>1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4"/>
      <c r="BW74" s="4"/>
      <c r="BX74" s="4"/>
    </row>
    <row r="75" customFormat="false" ht="16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4"/>
      <c r="BW75" s="4"/>
      <c r="BX75" s="4"/>
    </row>
    <row r="76" customFormat="false" ht="16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4"/>
      <c r="BW76" s="4"/>
      <c r="BX76" s="4"/>
    </row>
    <row r="77" customFormat="false" ht="16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4"/>
      <c r="BW77" s="4"/>
      <c r="BX77" s="4"/>
    </row>
    <row r="78" customFormat="false" ht="16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4"/>
      <c r="BW78" s="4"/>
      <c r="BX78" s="4"/>
    </row>
    <row r="79" customFormat="false" ht="16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4"/>
      <c r="BW79" s="4"/>
      <c r="BX79" s="4"/>
    </row>
    <row r="80" customFormat="false" ht="16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4"/>
      <c r="BW80" s="4"/>
      <c r="BX80" s="4"/>
    </row>
    <row r="81" customFormat="false" ht="16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4"/>
      <c r="BW81" s="4"/>
      <c r="BX81" s="4"/>
    </row>
    <row r="82" customFormat="false" ht="16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4"/>
      <c r="BW82" s="4"/>
      <c r="BX82" s="4"/>
    </row>
    <row r="83" customFormat="false" ht="16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4"/>
      <c r="BW83" s="4"/>
      <c r="BX83" s="4"/>
    </row>
    <row r="84" customFormat="false" ht="16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4"/>
      <c r="BW84" s="4"/>
      <c r="BX84" s="4"/>
    </row>
    <row r="85" customFormat="false" ht="16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4"/>
      <c r="BW85" s="4"/>
      <c r="BX85" s="4"/>
    </row>
    <row r="86" customFormat="false" ht="16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4"/>
      <c r="BW86" s="4"/>
      <c r="BX86" s="4"/>
    </row>
    <row r="87" customFormat="false" ht="16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4"/>
      <c r="BW87" s="4"/>
      <c r="BX87" s="4"/>
    </row>
    <row r="88" customFormat="false" ht="16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4"/>
      <c r="BW88" s="4"/>
      <c r="BX88" s="4"/>
    </row>
    <row r="89" customFormat="false" ht="16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4"/>
      <c r="BW89" s="4"/>
      <c r="BX89" s="4"/>
    </row>
    <row r="90" customFormat="false" ht="16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4"/>
      <c r="BW90" s="4"/>
      <c r="BX90" s="4"/>
    </row>
    <row r="91" customFormat="false" ht="16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4"/>
      <c r="BW91" s="4"/>
      <c r="BX91" s="4"/>
    </row>
    <row r="92" customFormat="false" ht="16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4"/>
      <c r="BW92" s="4"/>
      <c r="BX92" s="4"/>
    </row>
    <row r="93" customFormat="false" ht="16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4"/>
      <c r="BW93" s="4"/>
      <c r="BX93" s="4"/>
    </row>
    <row r="94" customFormat="false" ht="16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4"/>
      <c r="BW94" s="4"/>
      <c r="BX94" s="4"/>
    </row>
    <row r="95" customFormat="false" ht="16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4"/>
      <c r="BW95" s="4"/>
      <c r="BX95" s="4"/>
    </row>
    <row r="96" customFormat="false" ht="16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4"/>
      <c r="BW96" s="4"/>
      <c r="BX96" s="4"/>
    </row>
    <row r="97" customFormat="false" ht="16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4"/>
      <c r="BW97" s="4"/>
      <c r="BX97" s="4"/>
    </row>
    <row r="98" customFormat="false" ht="16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4"/>
      <c r="BW98" s="4"/>
      <c r="BX98" s="4"/>
    </row>
    <row r="99" customFormat="false" ht="16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4"/>
      <c r="BW99" s="4"/>
      <c r="BX99" s="4"/>
    </row>
    <row r="100" customFormat="false" ht="16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4"/>
      <c r="BW100" s="4"/>
      <c r="BX100" s="4"/>
    </row>
    <row r="101" customFormat="false" ht="16" hidden="false" customHeight="true" outlineLevel="0" collapsed="false">
      <c r="A101" s="1" t="s">
        <v>52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4"/>
      <c r="BW101" s="4"/>
      <c r="BX101" s="4"/>
    </row>
    <row r="102" customFormat="false" ht="16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4"/>
      <c r="BW102" s="4"/>
      <c r="BX102" s="4"/>
    </row>
    <row r="103" customFormat="false" ht="16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4"/>
      <c r="BS103" s="1"/>
      <c r="BT103" s="1"/>
      <c r="BU103" s="1"/>
      <c r="BV103" s="4"/>
      <c r="BW103" s="4"/>
      <c r="BX103" s="4"/>
    </row>
    <row r="104" customFormat="false" ht="16" hidden="false" customHeight="true" outlineLevel="0" collapsed="false">
      <c r="A104" s="1"/>
      <c r="B104" s="1" t="s">
        <v>53</v>
      </c>
      <c r="C104" s="1" t="s">
        <v>54</v>
      </c>
      <c r="D104" s="1" t="s">
        <v>55</v>
      </c>
      <c r="E104" s="1" t="s">
        <v>56</v>
      </c>
      <c r="F104" s="1" t="s">
        <v>30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 t="s">
        <v>53</v>
      </c>
      <c r="AL104" s="1" t="s">
        <v>54</v>
      </c>
      <c r="AM104" s="1" t="s">
        <v>55</v>
      </c>
      <c r="AN104" s="1" t="s">
        <v>56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 t="s">
        <v>19</v>
      </c>
      <c r="BC104" s="1" t="s">
        <v>57</v>
      </c>
      <c r="BD104" s="1" t="s">
        <v>58</v>
      </c>
      <c r="BE104" s="1" t="s">
        <v>25</v>
      </c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 t="s">
        <v>34</v>
      </c>
      <c r="BR104" s="1" t="s">
        <v>35</v>
      </c>
      <c r="BS104" s="1" t="s">
        <v>36</v>
      </c>
      <c r="BT104" s="1" t="s">
        <v>37</v>
      </c>
      <c r="BU104" s="1" t="s">
        <v>34</v>
      </c>
      <c r="BV104" s="4" t="s">
        <v>38</v>
      </c>
      <c r="BW104" s="4" t="s">
        <v>39</v>
      </c>
      <c r="BX104" s="4"/>
      <c r="CA104" s="1" t="s">
        <v>1</v>
      </c>
    </row>
    <row r="105" customFormat="false" ht="16" hidden="false" customHeight="true" outlineLevel="0" collapsed="false">
      <c r="A105" s="1" t="n">
        <v>2.5</v>
      </c>
      <c r="B105" s="1" t="n">
        <v>13709</v>
      </c>
      <c r="C105" s="1" t="n">
        <v>4094</v>
      </c>
      <c r="D105" s="1" t="n">
        <v>441</v>
      </c>
      <c r="E105" s="1" t="n">
        <v>1732</v>
      </c>
      <c r="F105" s="1" t="n">
        <f aca="false">SUM(B105:E105)</f>
        <v>19976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 t="n">
        <v>0</v>
      </c>
      <c r="AK105" s="4" t="n">
        <f aca="false">B105/B$125</f>
        <v>0.068542944</v>
      </c>
      <c r="AL105" s="4" t="n">
        <f aca="false">C105/C$125</f>
        <v>0.047846666</v>
      </c>
      <c r="AM105" s="4" t="n">
        <f aca="false">D105/D$125</f>
        <v>0.018516963</v>
      </c>
      <c r="AN105" s="4" t="n">
        <f aca="false">E105/E$125</f>
        <v>0.28030426</v>
      </c>
      <c r="AO105" s="4" t="n">
        <f aca="false">F105/F$125</f>
        <v>0.06330213</v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4" t="n">
        <f aca="false">AK105</f>
        <v>0.068542944</v>
      </c>
      <c r="BC105" s="4" t="n">
        <f aca="false">AL105</f>
        <v>0.047846666</v>
      </c>
      <c r="BD105" s="4" t="n">
        <f aca="false">AM105</f>
        <v>0.018516963</v>
      </c>
      <c r="BE105" s="4" t="n">
        <f aca="false">AN105</f>
        <v>0.28030426</v>
      </c>
      <c r="BF105" s="4" t="n">
        <f aca="false">AO105</f>
        <v>0.06330213</v>
      </c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 t="n">
        <v>2.5</v>
      </c>
      <c r="BR105" s="4" t="n">
        <f aca="false">AO105</f>
        <v>0.06330213</v>
      </c>
      <c r="BS105" s="1" t="n">
        <f aca="false">LN(BR105)</f>
        <v>-2.7598363</v>
      </c>
      <c r="BT105" s="1" t="n">
        <f aca="false">BU105*BU105</f>
        <v>6.25</v>
      </c>
      <c r="BU105" s="1" t="n">
        <f aca="false">BQ105</f>
        <v>2.5</v>
      </c>
      <c r="BV105" s="4" t="n">
        <f aca="false">SQRT(BQ105)</f>
        <v>1.5811388</v>
      </c>
      <c r="BW105" s="4" t="n">
        <f aca="false">EXP(+$CC$105+0*$CB$111*BT105+$CB$111*BU105+$CC$111*BV105)</f>
        <v>0.079156438</v>
      </c>
      <c r="BX105" s="4" t="n">
        <f aca="false">BW105/$BW$26</f>
        <v>0.082900123</v>
      </c>
      <c r="BZ105" s="1" t="s">
        <v>2</v>
      </c>
      <c r="CC105" s="1" t="n">
        <v>-3.463049</v>
      </c>
    </row>
    <row r="106" customFormat="false" ht="16" hidden="false" customHeight="true" outlineLevel="0" collapsed="false">
      <c r="A106" s="1" t="n">
        <v>7.5</v>
      </c>
      <c r="B106" s="1" t="n">
        <v>28549</v>
      </c>
      <c r="C106" s="1" t="n">
        <v>11692</v>
      </c>
      <c r="D106" s="1" t="n">
        <v>1922</v>
      </c>
      <c r="E106" s="1" t="n">
        <v>1684</v>
      </c>
      <c r="F106" s="1" t="n">
        <f aca="false">SUM(B106:E106)</f>
        <v>43847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 t="n">
        <v>5</v>
      </c>
      <c r="AK106" s="4" t="n">
        <f aca="false">B106/B$125</f>
        <v>0.14274072</v>
      </c>
      <c r="AL106" s="4" t="n">
        <f aca="false">C106/C$125</f>
        <v>0.13664466</v>
      </c>
      <c r="AM106" s="4" t="n">
        <f aca="false">D106/D$125</f>
        <v>0.080702049</v>
      </c>
      <c r="AN106" s="4" t="n">
        <f aca="false">E106/E$125</f>
        <v>0.27253601</v>
      </c>
      <c r="AO106" s="4" t="n">
        <f aca="false">F106/F$125</f>
        <v>0.13894716</v>
      </c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4" t="n">
        <f aca="false">AK106+BB105</f>
        <v>0.21128366</v>
      </c>
      <c r="BC106" s="4" t="n">
        <f aca="false">AL106+BC105</f>
        <v>0.18449132</v>
      </c>
      <c r="BD106" s="4" t="n">
        <f aca="false">AM106+BD105</f>
        <v>0.099219012</v>
      </c>
      <c r="BE106" s="4" t="n">
        <f aca="false">AN106+BE105</f>
        <v>0.55284027</v>
      </c>
      <c r="BF106" s="4" t="n">
        <f aca="false">AO106+BF105</f>
        <v>0.20224929</v>
      </c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 t="n">
        <v>7.5</v>
      </c>
      <c r="BR106" s="4" t="n">
        <f aca="false">AO106</f>
        <v>0.13894716</v>
      </c>
      <c r="BS106" s="1" t="n">
        <f aca="false">LN(BR106)</f>
        <v>-1.9736616</v>
      </c>
      <c r="BT106" s="1" t="n">
        <f aca="false">BU106*BU106</f>
        <v>56.25</v>
      </c>
      <c r="BU106" s="1" t="n">
        <f aca="false">BQ106</f>
        <v>7.5</v>
      </c>
      <c r="BV106" s="4" t="n">
        <f aca="false">SQRT(BQ106)</f>
        <v>2.7386128</v>
      </c>
      <c r="BW106" s="4" t="n">
        <f aca="false">EXP(+$CC$105+0*$CB$111*BT106+$CB$111*BU106+$CC$111*BV106)</f>
        <v>0.11177003</v>
      </c>
      <c r="BX106" s="4" t="n">
        <f aca="false">BW106/$BW$26</f>
        <v>0.11705616</v>
      </c>
      <c r="BZ106" s="1" t="s">
        <v>5</v>
      </c>
      <c r="CC106" s="1" t="n">
        <v>0.33076602</v>
      </c>
    </row>
    <row r="107" customFormat="false" ht="16" hidden="false" customHeight="true" outlineLevel="0" collapsed="false">
      <c r="A107" s="1" t="n">
        <v>12.5</v>
      </c>
      <c r="B107" s="1" t="n">
        <v>33105</v>
      </c>
      <c r="C107" s="1" t="n">
        <v>11953</v>
      </c>
      <c r="D107" s="1" t="n">
        <v>3199</v>
      </c>
      <c r="E107" s="1" t="n">
        <v>1384</v>
      </c>
      <c r="F107" s="1" t="n">
        <f aca="false">SUM(B107:E107)</f>
        <v>49641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n">
        <v>10</v>
      </c>
      <c r="AK107" s="4" t="n">
        <f aca="false">B107/B$125</f>
        <v>0.16552003</v>
      </c>
      <c r="AL107" s="4" t="n">
        <f aca="false">C107/C$125</f>
        <v>0.13969497</v>
      </c>
      <c r="AM107" s="4" t="n">
        <f aca="false">D107/D$125</f>
        <v>0.13432146</v>
      </c>
      <c r="AN107" s="4" t="n">
        <f aca="false">E107/E$125</f>
        <v>0.22398446</v>
      </c>
      <c r="AO107" s="4" t="n">
        <f aca="false">F107/F$125</f>
        <v>0.15730782</v>
      </c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4" t="n">
        <f aca="false">AK107+BB106</f>
        <v>0.3768037</v>
      </c>
      <c r="BC107" s="4" t="n">
        <f aca="false">AL107+BC106</f>
        <v>0.32418629</v>
      </c>
      <c r="BD107" s="4" t="n">
        <f aca="false">AM107+BD106</f>
        <v>0.23354048</v>
      </c>
      <c r="BE107" s="4" t="n">
        <f aca="false">AN107+BE106</f>
        <v>0.77682473</v>
      </c>
      <c r="BF107" s="4" t="n">
        <f aca="false">AO107+BF106</f>
        <v>0.35955711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 t="n">
        <v>12.5</v>
      </c>
      <c r="BR107" s="4" t="n">
        <f aca="false">AO107</f>
        <v>0.15730782</v>
      </c>
      <c r="BS107" s="1" t="n">
        <f aca="false">LN(BR107)</f>
        <v>-1.8495507</v>
      </c>
      <c r="BT107" s="1" t="n">
        <f aca="false">BU107*BU107</f>
        <v>156.25</v>
      </c>
      <c r="BU107" s="1" t="n">
        <f aca="false">BQ107</f>
        <v>12.5</v>
      </c>
      <c r="BV107" s="4" t="n">
        <f aca="false">SQRT(BQ107)</f>
        <v>3.5355339</v>
      </c>
      <c r="BW107" s="4" t="n">
        <f aca="false">EXP(+$CC$105+0*$CB$111*BT107+$CB$111*BU107+$CC$111*BV107)</f>
        <v>0.12032294</v>
      </c>
      <c r="BX107" s="4" t="n">
        <f aca="false">BW107/$BW$26</f>
        <v>0.12601358</v>
      </c>
      <c r="BZ107" s="1" t="s">
        <v>8</v>
      </c>
      <c r="CC107" s="1" t="n">
        <v>0.94352098</v>
      </c>
    </row>
    <row r="108" customFormat="false" ht="16" hidden="false" customHeight="true" outlineLevel="0" collapsed="false">
      <c r="A108" s="1" t="n">
        <v>17.5</v>
      </c>
      <c r="B108" s="1" t="n">
        <v>26314</v>
      </c>
      <c r="C108" s="1" t="n">
        <v>10380</v>
      </c>
      <c r="D108" s="1" t="n">
        <v>1429</v>
      </c>
      <c r="E108" s="1" t="n">
        <v>623</v>
      </c>
      <c r="F108" s="1" t="n">
        <f aca="false">SUM(B108:E108)</f>
        <v>38746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n">
        <v>15</v>
      </c>
      <c r="AK108" s="4" t="n">
        <f aca="false">B108/B$125</f>
        <v>0.13156605</v>
      </c>
      <c r="AL108" s="4" t="n">
        <f aca="false">C108/C$125</f>
        <v>0.12131128</v>
      </c>
      <c r="AM108" s="4" t="n">
        <f aca="false">D108/D$125</f>
        <v>0.06000168</v>
      </c>
      <c r="AN108" s="4" t="n">
        <f aca="false">E108/E$125</f>
        <v>0.10082538</v>
      </c>
      <c r="AO108" s="4" t="n">
        <f aca="false">F108/F$125</f>
        <v>0.12278256</v>
      </c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4" t="n">
        <f aca="false">AK108+BB107</f>
        <v>0.50836975</v>
      </c>
      <c r="BC108" s="4" t="n">
        <f aca="false">AL108+BC107</f>
        <v>0.44549757</v>
      </c>
      <c r="BD108" s="4" t="n">
        <f aca="false">AM108+BD107</f>
        <v>0.29354216</v>
      </c>
      <c r="BE108" s="4" t="n">
        <f aca="false">AN108+BE107</f>
        <v>0.87765011</v>
      </c>
      <c r="BF108" s="4" t="n">
        <f aca="false">AO108+BF107</f>
        <v>0.48233967</v>
      </c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 t="n">
        <v>17.5</v>
      </c>
      <c r="BR108" s="4" t="n">
        <f aca="false">AO108</f>
        <v>0.12278256</v>
      </c>
      <c r="BS108" s="1" t="n">
        <f aca="false">LN(BR108)</f>
        <v>-2.0973403</v>
      </c>
      <c r="BT108" s="1" t="n">
        <f aca="false">BU108*BU108</f>
        <v>306.25</v>
      </c>
      <c r="BU108" s="1" t="n">
        <f aca="false">BQ108</f>
        <v>17.5</v>
      </c>
      <c r="BV108" s="4" t="n">
        <f aca="false">SQRT(BQ108)</f>
        <v>4.1833001</v>
      </c>
      <c r="BW108" s="4" t="n">
        <f aca="false">EXP(+$CC$105+0*$CB$111*BT108+$CB$111*BU108+$CC$111*BV108)</f>
        <v>0.11577983</v>
      </c>
      <c r="BX108" s="4" t="n">
        <f aca="false">BW108/$BW$26</f>
        <v>0.12125561</v>
      </c>
      <c r="BZ108" s="1" t="s">
        <v>16</v>
      </c>
      <c r="CC108" s="1" t="n">
        <v>19</v>
      </c>
    </row>
    <row r="109" customFormat="false" ht="16" hidden="false" customHeight="true" outlineLevel="0" collapsed="false">
      <c r="A109" s="1" t="n">
        <v>22.5</v>
      </c>
      <c r="B109" s="1" t="n">
        <v>13826</v>
      </c>
      <c r="C109" s="1" t="n">
        <v>4836</v>
      </c>
      <c r="D109" s="1" t="n">
        <v>2733</v>
      </c>
      <c r="E109" s="1" t="n">
        <v>345</v>
      </c>
      <c r="F109" s="1" t="n">
        <f aca="false">SUM(B109:E109)</f>
        <v>21740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n">
        <v>20</v>
      </c>
      <c r="AK109" s="4" t="n">
        <f aca="false">B109/B$125</f>
        <v>0.069127926</v>
      </c>
      <c r="AL109" s="4" t="n">
        <f aca="false">C109/C$125</f>
        <v>0.056518436</v>
      </c>
      <c r="AM109" s="4" t="n">
        <f aca="false">D109/D$125</f>
        <v>0.11475479</v>
      </c>
      <c r="AN109" s="4" t="n">
        <f aca="false">E109/E$125</f>
        <v>0.055834277</v>
      </c>
      <c r="AO109" s="4" t="n">
        <f aca="false">F109/F$125</f>
        <v>0.068892086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4" t="n">
        <f aca="false">AK109+BB108</f>
        <v>0.57749768</v>
      </c>
      <c r="BC109" s="4" t="n">
        <f aca="false">AL109+BC108</f>
        <v>0.50201601</v>
      </c>
      <c r="BD109" s="4" t="n">
        <f aca="false">AM109+BD108</f>
        <v>0.40829694</v>
      </c>
      <c r="BE109" s="4" t="n">
        <f aca="false">AN109+BE108</f>
        <v>0.93348438</v>
      </c>
      <c r="BF109" s="4" t="n">
        <f aca="false">AO109+BF108</f>
        <v>0.55123176</v>
      </c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 t="n">
        <v>22.5</v>
      </c>
      <c r="BR109" s="4" t="n">
        <f aca="false">AO109</f>
        <v>0.068892086</v>
      </c>
      <c r="BS109" s="1" t="n">
        <f aca="false">LN(BR109)</f>
        <v>-2.675214</v>
      </c>
      <c r="BT109" s="1" t="n">
        <f aca="false">BU109*BU109</f>
        <v>506.25</v>
      </c>
      <c r="BU109" s="1" t="n">
        <f aca="false">BQ109</f>
        <v>22.5</v>
      </c>
      <c r="BV109" s="4" t="n">
        <f aca="false">SQRT(BQ109)</f>
        <v>4.7434165</v>
      </c>
      <c r="BW109" s="4" t="n">
        <f aca="false">EXP(+$CC$105+0*$CB$111*BT109+$CB$111*BU109+$CC$111*BV109)</f>
        <v>0.10429813</v>
      </c>
      <c r="BX109" s="4" t="n">
        <f aca="false">BW109/$BW$26</f>
        <v>0.10923088</v>
      </c>
      <c r="BZ109" s="1" t="s">
        <v>41</v>
      </c>
      <c r="CC109" s="1" t="n">
        <v>16</v>
      </c>
    </row>
    <row r="110" customFormat="false" ht="16" hidden="false" customHeight="true" outlineLevel="0" collapsed="false">
      <c r="A110" s="1" t="n">
        <v>27.5</v>
      </c>
      <c r="B110" s="1" t="n">
        <v>29061</v>
      </c>
      <c r="C110" s="1" t="n">
        <v>11732</v>
      </c>
      <c r="D110" s="1" t="n">
        <v>1395</v>
      </c>
      <c r="E110" s="1" t="n">
        <v>272</v>
      </c>
      <c r="F110" s="1" t="n">
        <f aca="false">SUM(B110:E110)</f>
        <v>42460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 t="n">
        <v>25</v>
      </c>
      <c r="AK110" s="4" t="n">
        <f aca="false">B110/B$125</f>
        <v>0.14530064</v>
      </c>
      <c r="AL110" s="4" t="n">
        <f aca="false">C110/C$125</f>
        <v>0.13711214</v>
      </c>
      <c r="AM110" s="4" t="n">
        <f aca="false">D110/D$125</f>
        <v>0.058574068</v>
      </c>
      <c r="AN110" s="4" t="n">
        <f aca="false">E110/E$125</f>
        <v>0.044020068</v>
      </c>
      <c r="AO110" s="4" t="n">
        <f aca="false">F110/F$125</f>
        <v>0.13455188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4" t="n">
        <f aca="false">AK110+BB109</f>
        <v>0.72279832</v>
      </c>
      <c r="BC110" s="4" t="n">
        <f aca="false">AL110+BC109</f>
        <v>0.63912815</v>
      </c>
      <c r="BD110" s="4" t="n">
        <f aca="false">AM110+BD109</f>
        <v>0.46687101</v>
      </c>
      <c r="BE110" s="4" t="n">
        <f aca="false">AN110+BE109</f>
        <v>0.97750445</v>
      </c>
      <c r="BF110" s="4" t="n">
        <f aca="false">AO110+BF109</f>
        <v>0.68578364</v>
      </c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 t="n">
        <v>27.5</v>
      </c>
      <c r="BR110" s="4" t="n">
        <f aca="false">AO110</f>
        <v>0.13455188</v>
      </c>
      <c r="BS110" s="1" t="n">
        <f aca="false">LN(BR110)</f>
        <v>-2.0058054</v>
      </c>
      <c r="BT110" s="1" t="n">
        <f aca="false">BU110*BU110</f>
        <v>756.25</v>
      </c>
      <c r="BU110" s="1" t="n">
        <f aca="false">BQ110</f>
        <v>27.5</v>
      </c>
      <c r="BV110" s="4" t="n">
        <f aca="false">SQRT(BQ110)</f>
        <v>5.2440442</v>
      </c>
      <c r="BW110" s="4" t="n">
        <f aca="false">EXP(+$CC$105+0*$CB$111*BT110+$CB$111*BU110+$CC$111*BV110)</f>
        <v>0.089842392</v>
      </c>
      <c r="BX110" s="4" t="n">
        <f aca="false">BW110/$BW$26</f>
        <v>0.094091467</v>
      </c>
    </row>
    <row r="111" customFormat="false" ht="16" hidden="false" customHeight="true" outlineLevel="0" collapsed="false">
      <c r="A111" s="1" t="n">
        <v>32.5</v>
      </c>
      <c r="B111" s="1" t="n">
        <v>11374</v>
      </c>
      <c r="C111" s="1" t="n">
        <v>6488</v>
      </c>
      <c r="D111" s="1" t="n">
        <v>1977</v>
      </c>
      <c r="E111" s="1" t="n">
        <v>139</v>
      </c>
      <c r="F111" s="1" t="n">
        <f aca="false">SUM(B111:E111)</f>
        <v>19978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 t="n">
        <v>30</v>
      </c>
      <c r="AK111" s="4" t="n">
        <f aca="false">B111/B$125</f>
        <v>0.056868294</v>
      </c>
      <c r="AL111" s="4" t="n">
        <f aca="false">C111/C$125</f>
        <v>0.075825396</v>
      </c>
      <c r="AM111" s="4" t="n">
        <f aca="false">D111/D$125</f>
        <v>0.083011421</v>
      </c>
      <c r="AN111" s="4" t="n">
        <f aca="false">E111/E$125</f>
        <v>0.022495549</v>
      </c>
      <c r="AO111" s="4" t="n">
        <f aca="false">F111/F$125</f>
        <v>0.063308468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4" t="n">
        <f aca="false">AK111+BB110</f>
        <v>0.77966661</v>
      </c>
      <c r="BC111" s="4" t="n">
        <f aca="false">AL111+BC110</f>
        <v>0.71495354</v>
      </c>
      <c r="BD111" s="4" t="n">
        <f aca="false">AM111+BD110</f>
        <v>0.54988243</v>
      </c>
      <c r="BE111" s="4" t="n">
        <f aca="false">AN111+BE110</f>
        <v>1</v>
      </c>
      <c r="BF111" s="4" t="n">
        <f aca="false">AO111+BF110</f>
        <v>0.74909211</v>
      </c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 t="n">
        <v>32.5</v>
      </c>
      <c r="BR111" s="4" t="n">
        <f aca="false">AO111</f>
        <v>0.063308468</v>
      </c>
      <c r="BS111" s="1" t="n">
        <f aca="false">LN(BR111)</f>
        <v>-2.7597362</v>
      </c>
      <c r="BT111" s="1" t="n">
        <f aca="false">BU111*BU111</f>
        <v>1056.25</v>
      </c>
      <c r="BU111" s="1" t="n">
        <f aca="false">BQ111</f>
        <v>32.5</v>
      </c>
      <c r="BV111" s="4" t="n">
        <f aca="false">SQRT(BQ111)</f>
        <v>5.7008771</v>
      </c>
      <c r="BW111" s="4" t="n">
        <f aca="false">EXP(+$CC$105+0*$CB$111*BT111+$CB$111*BU111+$CC$111*BV111)</f>
        <v>0.074881662</v>
      </c>
      <c r="BX111" s="4" t="n">
        <f aca="false">BW111/$BW$26</f>
        <v>0.078423173</v>
      </c>
      <c r="BZ111" s="1" t="s">
        <v>42</v>
      </c>
      <c r="CB111" s="1" t="n">
        <v>-0.10517417</v>
      </c>
      <c r="CC111" s="1" t="n">
        <v>0.75240408</v>
      </c>
    </row>
    <row r="112" customFormat="false" ht="16" hidden="false" customHeight="true" outlineLevel="0" collapsed="false">
      <c r="A112" s="1" t="n">
        <v>37.5</v>
      </c>
      <c r="B112" s="1" t="n">
        <v>8977</v>
      </c>
      <c r="C112" s="1" t="n">
        <v>4774</v>
      </c>
      <c r="D112" s="1" t="n">
        <v>2697</v>
      </c>
      <c r="E112" s="1" t="n">
        <v>0</v>
      </c>
      <c r="F112" s="1" t="n">
        <f aca="false">SUM(B112:E112)</f>
        <v>16448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 t="n">
        <v>35</v>
      </c>
      <c r="AK112" s="4" t="n">
        <f aca="false">B112/B$125</f>
        <v>0.044883653</v>
      </c>
      <c r="AL112" s="4" t="n">
        <f aca="false">C112/C$125</f>
        <v>0.055793841</v>
      </c>
      <c r="AM112" s="4" t="n">
        <f aca="false">D112/D$125</f>
        <v>0.1132432</v>
      </c>
      <c r="AN112" s="4" t="n">
        <f aca="false">E112/E$125</f>
        <v>0</v>
      </c>
      <c r="AO112" s="4" t="n">
        <f aca="false">F112/F$125</f>
        <v>0.052122218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4" t="n">
        <f aca="false">AK112+BB111</f>
        <v>0.82455026</v>
      </c>
      <c r="BC112" s="4" t="n">
        <f aca="false">AL112+BC111</f>
        <v>0.77074739</v>
      </c>
      <c r="BD112" s="4" t="n">
        <f aca="false">AM112+BD111</f>
        <v>0.66312563</v>
      </c>
      <c r="BE112" s="4" t="n">
        <f aca="false">AN112+BE111</f>
        <v>1</v>
      </c>
      <c r="BF112" s="4" t="n">
        <f aca="false">AO112+BF111</f>
        <v>0.80121433</v>
      </c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 t="n">
        <v>37.5</v>
      </c>
      <c r="BR112" s="4" t="n">
        <f aca="false">AO112</f>
        <v>0.052122218</v>
      </c>
      <c r="BS112" s="1" t="n">
        <f aca="false">LN(BR112)</f>
        <v>-2.954164</v>
      </c>
      <c r="BT112" s="1" t="n">
        <f aca="false">BU112*BU112</f>
        <v>1406.25</v>
      </c>
      <c r="BU112" s="1" t="n">
        <f aca="false">BQ112</f>
        <v>37.5</v>
      </c>
      <c r="BV112" s="4" t="n">
        <f aca="false">SQRT(BQ112)</f>
        <v>6.1237244</v>
      </c>
      <c r="BW112" s="4" t="n">
        <f aca="false">EXP(+$CC$105+0*$CB$111*BT112+$CB$111*BU112+$CC$111*BV112)</f>
        <v>0.060836515</v>
      </c>
      <c r="BX112" s="4" t="n">
        <f aca="false">BW112/$BW$26</f>
        <v>0.063713763</v>
      </c>
      <c r="BZ112" s="1" t="s">
        <v>43</v>
      </c>
      <c r="CB112" s="1" t="n">
        <v>0.01458779</v>
      </c>
      <c r="CC112" s="1" t="n">
        <v>0.17532998</v>
      </c>
    </row>
    <row r="113" customFormat="false" ht="16" hidden="false" customHeight="true" outlineLevel="0" collapsed="false">
      <c r="A113" s="1" t="n">
        <v>42.5</v>
      </c>
      <c r="B113" s="1" t="n">
        <v>11755</v>
      </c>
      <c r="C113" s="1" t="n">
        <v>4966</v>
      </c>
      <c r="D113" s="1" t="n">
        <v>545</v>
      </c>
      <c r="E113" s="1" t="n">
        <v>0</v>
      </c>
      <c r="F113" s="1" t="n">
        <f aca="false">SUM(B113:E113)</f>
        <v>17266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 t="n">
        <v>40</v>
      </c>
      <c r="AK113" s="4" t="n">
        <f aca="false">B113/B$125</f>
        <v>0.058773237</v>
      </c>
      <c r="AL113" s="4" t="n">
        <f aca="false">C113/C$125</f>
        <v>0.058037749</v>
      </c>
      <c r="AM113" s="4" t="n">
        <f aca="false">D113/D$125</f>
        <v>0.022883776</v>
      </c>
      <c r="AN113" s="4" t="n">
        <f aca="false">E113/E$125</f>
        <v>0</v>
      </c>
      <c r="AO113" s="4" t="n">
        <f aca="false">F113/F$125</f>
        <v>0.054714386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4" t="n">
        <f aca="false">AK113+BB112</f>
        <v>0.8833235</v>
      </c>
      <c r="BC113" s="4" t="n">
        <f aca="false">AL113+BC112</f>
        <v>0.82878513</v>
      </c>
      <c r="BD113" s="4" t="n">
        <f aca="false">AM113+BD112</f>
        <v>0.68600941</v>
      </c>
      <c r="BE113" s="4" t="n">
        <f aca="false">AN113+BE112</f>
        <v>1</v>
      </c>
      <c r="BF113" s="4" t="n">
        <f aca="false">AO113+BF112</f>
        <v>0.85592871</v>
      </c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 t="n">
        <v>42.5</v>
      </c>
      <c r="BR113" s="4" t="n">
        <f aca="false">AO113</f>
        <v>0.054714386</v>
      </c>
      <c r="BS113" s="1" t="n">
        <f aca="false">LN(BR113)</f>
        <v>-2.9056286</v>
      </c>
      <c r="BT113" s="1" t="n">
        <f aca="false">BU113*BU113</f>
        <v>1806.25</v>
      </c>
      <c r="BU113" s="1" t="n">
        <f aca="false">BQ113</f>
        <v>42.5</v>
      </c>
      <c r="BV113" s="4" t="n">
        <f aca="false">SQRT(BQ113)</f>
        <v>6.5192024</v>
      </c>
      <c r="BW113" s="4" t="n">
        <f aca="false">EXP(+$CC$105+0*$CB$111*BT113+$CB$111*BU113+$CC$111*BV113)</f>
        <v>0.048418339</v>
      </c>
      <c r="BX113" s="4" t="n">
        <f aca="false">BW113/$BW$26</f>
        <v>0.050708273</v>
      </c>
      <c r="CB113" s="1" t="n">
        <f aca="false">CB111/CB112</f>
        <v>-7.2097398</v>
      </c>
      <c r="CC113" s="1" t="n">
        <f aca="false">CC111/CC112</f>
        <v>4.2913601</v>
      </c>
    </row>
    <row r="114" customFormat="false" ht="16" hidden="false" customHeight="true" outlineLevel="0" collapsed="false">
      <c r="A114" s="1" t="n">
        <v>47.5</v>
      </c>
      <c r="B114" s="1" t="n">
        <v>4812</v>
      </c>
      <c r="C114" s="1" t="n">
        <v>2598</v>
      </c>
      <c r="D114" s="1" t="n">
        <v>602</v>
      </c>
      <c r="E114" s="1" t="n">
        <v>0</v>
      </c>
      <c r="F114" s="1" t="n">
        <f aca="false">SUM(B114:E114)</f>
        <v>8012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 t="n">
        <v>45</v>
      </c>
      <c r="AK114" s="4" t="n">
        <f aca="false">B114/B$125</f>
        <v>0.024059278</v>
      </c>
      <c r="AL114" s="4" t="n">
        <f aca="false">C114/C$125</f>
        <v>0.030362882</v>
      </c>
      <c r="AM114" s="4" t="n">
        <f aca="false">D114/D$125</f>
        <v>0.025277125</v>
      </c>
      <c r="AN114" s="4" t="n">
        <f aca="false">E114/E$125</f>
        <v>0</v>
      </c>
      <c r="AO114" s="4" t="n">
        <f aca="false">F114/F$125</f>
        <v>0.0253893</v>
      </c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4" t="n">
        <f aca="false">AK114+BB113</f>
        <v>0.90738278</v>
      </c>
      <c r="BC114" s="4" t="n">
        <f aca="false">AL114+BC113</f>
        <v>0.85914802</v>
      </c>
      <c r="BD114" s="4" t="n">
        <f aca="false">AM114+BD113</f>
        <v>0.71128653</v>
      </c>
      <c r="BE114" s="4" t="n">
        <f aca="false">AN114+BE113</f>
        <v>1</v>
      </c>
      <c r="BF114" s="4" t="n">
        <f aca="false">AO114+BF113</f>
        <v>0.88131801</v>
      </c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 t="n">
        <v>47.5</v>
      </c>
      <c r="BR114" s="4" t="n">
        <f aca="false">AO114</f>
        <v>0.0253893</v>
      </c>
      <c r="BS114" s="1" t="n">
        <f aca="false">LN(BR114)</f>
        <v>-3.6734274</v>
      </c>
      <c r="BT114" s="1" t="n">
        <f aca="false">BU114*BU114</f>
        <v>2256.25</v>
      </c>
      <c r="BU114" s="1" t="n">
        <f aca="false">BQ114</f>
        <v>47.5</v>
      </c>
      <c r="BV114" s="4" t="n">
        <f aca="false">SQRT(BQ114)</f>
        <v>6.8920244</v>
      </c>
      <c r="BW114" s="4" t="n">
        <f aca="false">EXP(+$CC$105+0*$CB$111*BT114+$CB$111*BU114+$CC$111*BV114)</f>
        <v>0.037883686</v>
      </c>
      <c r="BX114" s="4" t="n">
        <f aca="false">BW114/$BW$26</f>
        <v>0.039675386</v>
      </c>
    </row>
    <row r="115" customFormat="false" ht="16" hidden="false" customHeight="true" outlineLevel="0" collapsed="false">
      <c r="A115" s="1" t="n">
        <v>52.5</v>
      </c>
      <c r="B115" s="1" t="n">
        <v>3677</v>
      </c>
      <c r="C115" s="1" t="n">
        <v>1936</v>
      </c>
      <c r="D115" s="1" t="n">
        <v>2594</v>
      </c>
      <c r="E115" s="1" t="n">
        <v>0</v>
      </c>
      <c r="F115" s="1" t="n">
        <f aca="false">SUM(B115:E115)</f>
        <v>8207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 t="n">
        <v>50</v>
      </c>
      <c r="AK115" s="4" t="n">
        <f aca="false">B115/B$125</f>
        <v>0.018384448</v>
      </c>
      <c r="AL115" s="4" t="n">
        <f aca="false">C115/C$125</f>
        <v>0.022626074</v>
      </c>
      <c r="AM115" s="4" t="n">
        <f aca="false">D115/D$125</f>
        <v>0.10891837</v>
      </c>
      <c r="AN115" s="4" t="n">
        <f aca="false">E115/E$125</f>
        <v>0</v>
      </c>
      <c r="AO115" s="4" t="n">
        <f aca="false">F115/F$125</f>
        <v>0.026007238</v>
      </c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4" t="n">
        <f aca="false">AK115+BB114</f>
        <v>0.92576723</v>
      </c>
      <c r="BC115" s="4" t="n">
        <f aca="false">AL115+BC114</f>
        <v>0.88177409</v>
      </c>
      <c r="BD115" s="4" t="n">
        <f aca="false">AM115+BD114</f>
        <v>0.8202049</v>
      </c>
      <c r="BE115" s="4" t="n">
        <f aca="false">AN115+BE114</f>
        <v>1</v>
      </c>
      <c r="BF115" s="4" t="n">
        <f aca="false">AO115+BF114</f>
        <v>0.90732525</v>
      </c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 t="n">
        <v>52.5</v>
      </c>
      <c r="BR115" s="4" t="n">
        <f aca="false">AO115</f>
        <v>0.026007238</v>
      </c>
      <c r="BS115" s="1" t="n">
        <f aca="false">LN(BR115)</f>
        <v>-3.6493804</v>
      </c>
      <c r="BT115" s="1" t="n">
        <f aca="false">BU115*BU115</f>
        <v>2756.25</v>
      </c>
      <c r="BU115" s="1" t="n">
        <f aca="false">BQ115</f>
        <v>52.5</v>
      </c>
      <c r="BV115" s="4" t="n">
        <f aca="false">SQRT(BQ115)</f>
        <v>7.2456884</v>
      </c>
      <c r="BW115" s="4" t="n">
        <f aca="false">EXP(+$CC$105+0*$CB$111*BT115+$CB$111*BU115+$CC$111*BV115)</f>
        <v>0.02921692</v>
      </c>
      <c r="BX115" s="4" t="n">
        <f aca="false">BW115/$BW$26</f>
        <v>0.030598727</v>
      </c>
    </row>
    <row r="116" customFormat="false" ht="16" hidden="false" customHeight="true" outlineLevel="0" collapsed="false">
      <c r="A116" s="1" t="n">
        <v>57.5</v>
      </c>
      <c r="B116" s="1" t="n">
        <v>6404</v>
      </c>
      <c r="C116" s="1" t="n">
        <v>4085</v>
      </c>
      <c r="D116" s="1" t="n">
        <v>369</v>
      </c>
      <c r="E116" s="1" t="n">
        <v>0</v>
      </c>
      <c r="F116" s="1" t="n">
        <f aca="false">SUM(B116:E116)</f>
        <v>10858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 t="n">
        <v>55</v>
      </c>
      <c r="AK116" s="4" t="n">
        <f aca="false">B116/B$125</f>
        <v>0.032019039</v>
      </c>
      <c r="AL116" s="4" t="n">
        <f aca="false">C116/C$125</f>
        <v>0.047741483</v>
      </c>
      <c r="AM116" s="4" t="n">
        <f aca="false">D116/D$125</f>
        <v>0.015493786</v>
      </c>
      <c r="AN116" s="4" t="n">
        <f aca="false">E116/E$125</f>
        <v>0</v>
      </c>
      <c r="AO116" s="4" t="n">
        <f aca="false">F116/F$125</f>
        <v>0.034408016</v>
      </c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4" t="n">
        <f aca="false">AK116+BB115</f>
        <v>0.95778627</v>
      </c>
      <c r="BC116" s="4" t="n">
        <f aca="false">AL116+BC115</f>
        <v>0.92951557</v>
      </c>
      <c r="BD116" s="4" t="n">
        <f aca="false">AM116+BD115</f>
        <v>0.83569869</v>
      </c>
      <c r="BE116" s="4" t="n">
        <f aca="false">AN116+BE115</f>
        <v>1</v>
      </c>
      <c r="BF116" s="4" t="n">
        <f aca="false">AO116+BF115</f>
        <v>0.94173327</v>
      </c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 t="n">
        <v>57.5</v>
      </c>
      <c r="BR116" s="4" t="n">
        <f aca="false">AO116</f>
        <v>0.034408016</v>
      </c>
      <c r="BS116" s="1" t="n">
        <f aca="false">LN(BR116)</f>
        <v>-3.3694657</v>
      </c>
      <c r="BT116" s="1" t="n">
        <f aca="false">BU116*BU116</f>
        <v>3306.25</v>
      </c>
      <c r="BU116" s="1" t="n">
        <f aca="false">BQ116</f>
        <v>57.5</v>
      </c>
      <c r="BV116" s="4" t="n">
        <f aca="false">SQRT(BQ116)</f>
        <v>7.5828754</v>
      </c>
      <c r="BW116" s="4" t="n">
        <f aca="false">EXP(+$CC$105+0*$CB$111*BT116+$CB$111*BU116+$CC$111*BV116)</f>
        <v>0.022255253</v>
      </c>
      <c r="BX116" s="4" t="n">
        <f aca="false">BW116/$BW$26</f>
        <v>0.02330781</v>
      </c>
    </row>
    <row r="117" customFormat="false" ht="16" hidden="false" customHeight="true" outlineLevel="0" collapsed="false">
      <c r="A117" s="1" t="n">
        <v>62.5</v>
      </c>
      <c r="B117" s="1" t="n">
        <v>2150</v>
      </c>
      <c r="C117" s="1" t="n">
        <v>1311</v>
      </c>
      <c r="D117" s="1" t="n">
        <v>1236</v>
      </c>
      <c r="E117" s="1" t="n">
        <v>0</v>
      </c>
      <c r="F117" s="1" t="n">
        <f aca="false">SUM(B117:E117)</f>
        <v>4697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 t="n">
        <v>60</v>
      </c>
      <c r="AK117" s="4" t="n">
        <f aca="false">B117/B$125</f>
        <v>0.010749678</v>
      </c>
      <c r="AL117" s="4" t="n">
        <f aca="false">C117/C$125</f>
        <v>0.015321685</v>
      </c>
      <c r="AM117" s="4" t="n">
        <f aca="false">D117/D$125</f>
        <v>0.051897884</v>
      </c>
      <c r="AN117" s="4" t="n">
        <f aca="false">E117/E$125</f>
        <v>0</v>
      </c>
      <c r="AO117" s="4" t="n">
        <f aca="false">F117/F$125</f>
        <v>0.014884367</v>
      </c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4" t="n">
        <f aca="false">AK117+BB116</f>
        <v>0.96853594</v>
      </c>
      <c r="BC117" s="4" t="n">
        <f aca="false">AL117+BC116</f>
        <v>0.94483726</v>
      </c>
      <c r="BD117" s="4" t="n">
        <f aca="false">AM117+BD116</f>
        <v>0.88759657</v>
      </c>
      <c r="BE117" s="4" t="n">
        <f aca="false">AN117+BE116</f>
        <v>1</v>
      </c>
      <c r="BF117" s="4" t="n">
        <f aca="false">AO117+BF116</f>
        <v>0.95661763</v>
      </c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 t="n">
        <v>62.5</v>
      </c>
      <c r="BR117" s="4" t="n">
        <f aca="false">AO117</f>
        <v>0.014884367</v>
      </c>
      <c r="BS117" s="1" t="n">
        <f aca="false">LN(BR117)</f>
        <v>-4.2074438</v>
      </c>
      <c r="BT117" s="1" t="n">
        <f aca="false">BU117*BU117</f>
        <v>3906.25</v>
      </c>
      <c r="BU117" s="1" t="n">
        <f aca="false">BQ117</f>
        <v>62.5</v>
      </c>
      <c r="BV117" s="4" t="n">
        <f aca="false">SQRT(BQ117)</f>
        <v>7.9056942</v>
      </c>
      <c r="BW117" s="4" t="n">
        <f aca="false">EXP(+$CC$105+0*$CB$111*BT117+$CB$111*BU117+$CC$111*BV117)</f>
        <v>0.016770097</v>
      </c>
      <c r="BX117" s="4" t="n">
        <f aca="false">BW117/$BW$26</f>
        <v>0.017563235</v>
      </c>
    </row>
    <row r="118" customFormat="false" ht="16" hidden="false" customHeight="true" outlineLevel="0" collapsed="false">
      <c r="A118" s="1" t="n">
        <v>67.5</v>
      </c>
      <c r="B118" s="1" t="n">
        <v>1060</v>
      </c>
      <c r="C118" s="1" t="n">
        <v>772</v>
      </c>
      <c r="D118" s="1" t="n">
        <v>1527</v>
      </c>
      <c r="E118" s="1" t="n">
        <v>0</v>
      </c>
      <c r="F118" s="1" t="n">
        <f aca="false">SUM(B118:E118)</f>
        <v>3359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 t="n">
        <v>65</v>
      </c>
      <c r="AK118" s="4" t="n">
        <f aca="false">B118/B$125</f>
        <v>0.005299841</v>
      </c>
      <c r="AL118" s="4" t="n">
        <f aca="false">C118/C$125</f>
        <v>0.0090223806</v>
      </c>
      <c r="AM118" s="4" t="n">
        <f aca="false">D118/D$125</f>
        <v>0.06411656</v>
      </c>
      <c r="AN118" s="4" t="n">
        <f aca="false">E118/E$125</f>
        <v>0</v>
      </c>
      <c r="AO118" s="4" t="n">
        <f aca="false">F118/F$125</f>
        <v>0.010644366</v>
      </c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4" t="n">
        <f aca="false">AK118+BB117</f>
        <v>0.97383578</v>
      </c>
      <c r="BC118" s="4" t="n">
        <f aca="false">AL118+BC117</f>
        <v>0.95385964</v>
      </c>
      <c r="BD118" s="4" t="n">
        <f aca="false">AM118+BD117</f>
        <v>0.95171313</v>
      </c>
      <c r="BE118" s="4" t="n">
        <f aca="false">AN118+BE117</f>
        <v>1</v>
      </c>
      <c r="BF118" s="4" t="n">
        <f aca="false">AO118+BF117</f>
        <v>0.967262</v>
      </c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 t="n">
        <v>67.5</v>
      </c>
      <c r="BR118" s="4" t="n">
        <f aca="false">AO118</f>
        <v>0.010644366</v>
      </c>
      <c r="BS118" s="1" t="n">
        <f aca="false">LN(BR118)</f>
        <v>-4.5427245</v>
      </c>
      <c r="BT118" s="1" t="n">
        <f aca="false">BU118*BU118</f>
        <v>4556.25</v>
      </c>
      <c r="BU118" s="1" t="n">
        <f aca="false">BQ118</f>
        <v>67.5</v>
      </c>
      <c r="BV118" s="4" t="n">
        <f aca="false">SQRT(BQ118)</f>
        <v>8.2158384</v>
      </c>
      <c r="BW118" s="4" t="n">
        <f aca="false">EXP(+$CC$105+0*$CB$111*BT118+$CB$111*BU118+$CC$111*BV118)</f>
        <v>0.012516907</v>
      </c>
      <c r="BX118" s="4" t="n">
        <f aca="false">BW118/$BW$26</f>
        <v>0.013108891</v>
      </c>
    </row>
    <row r="119" customFormat="false" ht="16" hidden="false" customHeight="true" outlineLevel="0" collapsed="false">
      <c r="A119" s="1" t="n">
        <v>72.5</v>
      </c>
      <c r="B119" s="1" t="n">
        <v>2163</v>
      </c>
      <c r="C119" s="1" t="n">
        <v>2254</v>
      </c>
      <c r="D119" s="1" t="n">
        <v>600</v>
      </c>
      <c r="E119" s="1" t="n">
        <v>0</v>
      </c>
      <c r="F119" s="1" t="n">
        <f aca="false">SUM(B119:E119)</f>
        <v>5017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 t="n">
        <v>70</v>
      </c>
      <c r="AK119" s="4" t="n">
        <f aca="false">B119/B$125</f>
        <v>0.010814676</v>
      </c>
      <c r="AL119" s="4" t="n">
        <f aca="false">C119/C$125</f>
        <v>0.026342547</v>
      </c>
      <c r="AM119" s="4" t="n">
        <f aca="false">D119/D$125</f>
        <v>0.025193147</v>
      </c>
      <c r="AN119" s="4" t="n">
        <f aca="false">E119/E$125</f>
        <v>0</v>
      </c>
      <c r="AO119" s="4" t="n">
        <f aca="false">F119/F$125</f>
        <v>0.015898417</v>
      </c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4" t="n">
        <f aca="false">AK119+BB118</f>
        <v>0.98465046</v>
      </c>
      <c r="BC119" s="4" t="n">
        <f aca="false">AL119+BC118</f>
        <v>0.98020219</v>
      </c>
      <c r="BD119" s="4" t="n">
        <f aca="false">AM119+BD118</f>
        <v>0.97690628</v>
      </c>
      <c r="BE119" s="4" t="n">
        <f aca="false">AN119+BE118</f>
        <v>1</v>
      </c>
      <c r="BF119" s="4" t="n">
        <f aca="false">AO119+BF118</f>
        <v>0.98316042</v>
      </c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 t="n">
        <v>72.5</v>
      </c>
      <c r="BR119" s="4" t="n">
        <f aca="false">AO119</f>
        <v>0.015898417</v>
      </c>
      <c r="BS119" s="1" t="n">
        <f aca="false">LN(BR119)</f>
        <v>-4.1415357</v>
      </c>
      <c r="BT119" s="1" t="n">
        <f aca="false">BU119*BU119</f>
        <v>5256.25</v>
      </c>
      <c r="BU119" s="1" t="n">
        <f aca="false">BQ119</f>
        <v>72.5</v>
      </c>
      <c r="BV119" s="4" t="n">
        <f aca="false">SQRT(BQ119)</f>
        <v>8.5146932</v>
      </c>
      <c r="BW119" s="4" t="n">
        <f aca="false">EXP(+$CC$105+0*$CB$111*BT119+$CB$111*BU119+$CC$111*BV119)</f>
        <v>0.0092633804</v>
      </c>
      <c r="BX119" s="4" t="n">
        <f aca="false">BW119/$BW$26</f>
        <v>0.0097014898</v>
      </c>
    </row>
    <row r="120" customFormat="false" ht="16" hidden="false" customHeight="true" outlineLevel="0" collapsed="false">
      <c r="A120" s="1" t="n">
        <v>77.5</v>
      </c>
      <c r="B120" s="1" t="n">
        <v>823</v>
      </c>
      <c r="C120" s="1" t="n">
        <v>396</v>
      </c>
      <c r="D120" s="1" t="n">
        <v>243</v>
      </c>
      <c r="E120" s="1" t="n">
        <v>0</v>
      </c>
      <c r="F120" s="1" t="n">
        <f aca="false">SUM(B120:E120)</f>
        <v>1462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 t="n">
        <v>75</v>
      </c>
      <c r="AK120" s="4" t="n">
        <f aca="false">B120/B$125</f>
        <v>0.0041148766</v>
      </c>
      <c r="AL120" s="4" t="n">
        <f aca="false">C120/C$125</f>
        <v>0.0046280605</v>
      </c>
      <c r="AM120" s="4" t="n">
        <f aca="false">D120/D$125</f>
        <v>0.010203225</v>
      </c>
      <c r="AN120" s="4" t="n">
        <f aca="false">E120/E$125</f>
        <v>0</v>
      </c>
      <c r="AO120" s="4" t="n">
        <f aca="false">F120/F$125</f>
        <v>0.0046329452</v>
      </c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4" t="n">
        <f aca="false">AK120+BB119</f>
        <v>0.98876534</v>
      </c>
      <c r="BC120" s="4" t="n">
        <f aca="false">AL120+BC119</f>
        <v>0.98483025</v>
      </c>
      <c r="BD120" s="4" t="n">
        <f aca="false">AM120+BD119</f>
        <v>0.98710951</v>
      </c>
      <c r="BE120" s="4" t="n">
        <f aca="false">AN120+BE119</f>
        <v>1</v>
      </c>
      <c r="BF120" s="4" t="n">
        <f aca="false">AO120+BF119</f>
        <v>0.98779336</v>
      </c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 t="n">
        <v>77.5</v>
      </c>
      <c r="BR120" s="4" t="n">
        <f aca="false">AO120</f>
        <v>0.0046329452</v>
      </c>
      <c r="BS120" s="1" t="n">
        <f aca="false">LN(BR120)</f>
        <v>-5.3745625</v>
      </c>
      <c r="BT120" s="1" t="n">
        <f aca="false">BU120*BU120</f>
        <v>6006.25</v>
      </c>
      <c r="BU120" s="1" t="n">
        <f aca="false">BQ120</f>
        <v>77.5</v>
      </c>
      <c r="BV120" s="4" t="n">
        <f aca="false">SQRT(BQ120)</f>
        <v>8.8034084</v>
      </c>
      <c r="BW120" s="4" t="n">
        <f aca="false">EXP(+$CC$105+0*$CB$111*BT120+$CB$111*BU120+$CC$111*BV120)</f>
        <v>0.0068034425</v>
      </c>
      <c r="BX120" s="4" t="n">
        <f aca="false">BW120/$BW$26</f>
        <v>0.0071252097</v>
      </c>
    </row>
    <row r="121" customFormat="false" ht="16" hidden="false" customHeight="true" outlineLevel="0" collapsed="false">
      <c r="A121" s="1" t="n">
        <v>82.5</v>
      </c>
      <c r="B121" s="1" t="n">
        <v>852</v>
      </c>
      <c r="C121" s="1" t="n">
        <v>193</v>
      </c>
      <c r="D121" s="1" t="n">
        <v>307</v>
      </c>
      <c r="E121" s="1" t="n">
        <v>0</v>
      </c>
      <c r="F121" s="1" t="n">
        <f aca="false">SUM(B121:E121)</f>
        <v>1352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 t="n">
        <v>80</v>
      </c>
      <c r="AK121" s="4" t="n">
        <f aca="false">B121/B$125</f>
        <v>0.0042598722</v>
      </c>
      <c r="AL121" s="4" t="n">
        <f aca="false">C121/C$125</f>
        <v>0.0022555952</v>
      </c>
      <c r="AM121" s="4" t="n">
        <f aca="false">D121/D$125</f>
        <v>0.012890494</v>
      </c>
      <c r="AN121" s="4" t="n">
        <f aca="false">E121/E$125</f>
        <v>0</v>
      </c>
      <c r="AO121" s="4" t="n">
        <f aca="false">F121/F$125</f>
        <v>0.0042843652</v>
      </c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4" t="n">
        <f aca="false">AK121+BB120</f>
        <v>0.99302521</v>
      </c>
      <c r="BC121" s="4" t="n">
        <f aca="false">AL121+BC120</f>
        <v>0.98708584</v>
      </c>
      <c r="BD121" s="4" t="n">
        <f aca="false">AM121+BD120</f>
        <v>1</v>
      </c>
      <c r="BE121" s="4" t="n">
        <f aca="false">AN121+BE120</f>
        <v>1</v>
      </c>
      <c r="BF121" s="4" t="n">
        <f aca="false">AO121+BF120</f>
        <v>0.99207773</v>
      </c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 t="n">
        <v>82.5</v>
      </c>
      <c r="BR121" s="4" t="n">
        <f aca="false">AO121</f>
        <v>0.0042843652</v>
      </c>
      <c r="BS121" s="1" t="n">
        <f aca="false">LN(BR121)</f>
        <v>-5.4527829</v>
      </c>
      <c r="BT121" s="1" t="n">
        <f aca="false">BU121*BU121</f>
        <v>6806.25</v>
      </c>
      <c r="BU121" s="1" t="n">
        <f aca="false">BQ121</f>
        <v>82.5</v>
      </c>
      <c r="BV121" s="4" t="n">
        <f aca="false">SQRT(BQ121)</f>
        <v>9.0829511</v>
      </c>
      <c r="BW121" s="4" t="n">
        <f aca="false">EXP(+$CC$105+0*$CB$111*BT121+$CB$111*BU121+$CC$111*BV121)</f>
        <v>0.0049623872</v>
      </c>
      <c r="BX121" s="4" t="n">
        <f aca="false">BW121/$BW$26</f>
        <v>0.0051970821</v>
      </c>
    </row>
    <row r="122" customFormat="false" ht="16" hidden="false" customHeight="true" outlineLevel="0" collapsed="false">
      <c r="A122" s="1" t="n">
        <v>87.5</v>
      </c>
      <c r="B122" s="1" t="n">
        <v>951</v>
      </c>
      <c r="C122" s="1" t="n">
        <v>914</v>
      </c>
      <c r="D122" s="1" t="n">
        <v>0</v>
      </c>
      <c r="E122" s="1" t="n">
        <v>0</v>
      </c>
      <c r="F122" s="1" t="n">
        <f aca="false">SUM(B122:E122)</f>
        <v>1865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 t="n">
        <v>85</v>
      </c>
      <c r="AK122" s="4" t="n">
        <f aca="false">B122/B$125</f>
        <v>0.0047548574</v>
      </c>
      <c r="AL122" s="4" t="n">
        <f aca="false">C122/C$125</f>
        <v>0.010681938</v>
      </c>
      <c r="AM122" s="4" t="n">
        <f aca="false">D122/D$125</f>
        <v>0</v>
      </c>
      <c r="AN122" s="4" t="n">
        <f aca="false">E122/E$125</f>
        <v>0</v>
      </c>
      <c r="AO122" s="4" t="n">
        <f aca="false">F122/F$125</f>
        <v>0.0059100157</v>
      </c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4" t="n">
        <f aca="false">AK122+BB121</f>
        <v>0.99778007</v>
      </c>
      <c r="BC122" s="4" t="n">
        <f aca="false">AL122+BC121</f>
        <v>0.99776778</v>
      </c>
      <c r="BD122" s="4" t="n">
        <f aca="false">AM122+BD121</f>
        <v>1</v>
      </c>
      <c r="BE122" s="4" t="n">
        <f aca="false">AN122+BE121</f>
        <v>1</v>
      </c>
      <c r="BF122" s="4" t="n">
        <f aca="false">AO122+BF121</f>
        <v>0.99798774</v>
      </c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 t="n">
        <v>87.5</v>
      </c>
      <c r="BR122" s="4" t="n">
        <f aca="false">AO122</f>
        <v>0.0059100157</v>
      </c>
      <c r="BS122" s="1" t="n">
        <f aca="false">LN(BR122)</f>
        <v>-5.1311068</v>
      </c>
      <c r="BT122" s="1" t="n">
        <f aca="false">BU122*BU122</f>
        <v>7656.25</v>
      </c>
      <c r="BU122" s="1" t="n">
        <f aca="false">BQ122</f>
        <v>87.5</v>
      </c>
      <c r="BV122" s="4" t="n">
        <f aca="false">SQRT(BQ122)</f>
        <v>9.3541435</v>
      </c>
      <c r="BW122" s="4" t="n">
        <f aca="false">EXP(+$CC$105+0*$CB$111*BT122+$CB$111*BU122+$CC$111*BV122)</f>
        <v>0.003596864</v>
      </c>
      <c r="BX122" s="4" t="n">
        <f aca="false">BW122/$BW$26</f>
        <v>0.0037669768</v>
      </c>
    </row>
    <row r="123" customFormat="false" ht="16" hidden="false" customHeight="true" outlineLevel="0" collapsed="false">
      <c r="A123" s="1" t="n">
        <v>90</v>
      </c>
      <c r="B123" s="1" t="n">
        <v>444</v>
      </c>
      <c r="C123" s="1" t="n">
        <v>191</v>
      </c>
      <c r="D123" s="1" t="n">
        <v>0</v>
      </c>
      <c r="E123" s="1" t="n">
        <v>0</v>
      </c>
      <c r="F123" s="1" t="n">
        <f aca="false">SUM(B123:E123)</f>
        <v>635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 t="n">
        <v>90</v>
      </c>
      <c r="AK123" s="4" t="n">
        <f aca="false">B123/B$125</f>
        <v>0.0022199334</v>
      </c>
      <c r="AL123" s="4" t="n">
        <f aca="false">C123/C$125</f>
        <v>0.0022322211</v>
      </c>
      <c r="AM123" s="4" t="n">
        <f aca="false">D123/D$125</f>
        <v>0</v>
      </c>
      <c r="AN123" s="4" t="n">
        <f aca="false">E123/E$125</f>
        <v>0</v>
      </c>
      <c r="AO123" s="4" t="n">
        <f aca="false">F123/F$125</f>
        <v>0.0020122573</v>
      </c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 t="n">
        <v>92.5</v>
      </c>
      <c r="BR123" s="4" t="n">
        <f aca="false">AO123</f>
        <v>0.0020122573</v>
      </c>
      <c r="BS123" s="1" t="n">
        <f aca="false">LN(BR123)</f>
        <v>-6.2084981</v>
      </c>
      <c r="BT123" s="1" t="n">
        <f aca="false">BU123*BU123</f>
        <v>8556.25</v>
      </c>
      <c r="BU123" s="1" t="n">
        <f aca="false">BQ123</f>
        <v>92.5</v>
      </c>
      <c r="BV123" s="4" t="n">
        <f aca="false">SQRT(BQ123)</f>
        <v>9.617692</v>
      </c>
      <c r="BW123" s="4" t="n">
        <f aca="false">EXP(+$CC$105+0*$CB$111*BT123+$CB$111*BU123+$CC$111*BV123)</f>
        <v>0.0025921471</v>
      </c>
      <c r="BX123" s="4" t="n">
        <f aca="false">BW123/$BW$26</f>
        <v>0.0027147421</v>
      </c>
    </row>
    <row r="124" customFormat="false" ht="16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4"/>
      <c r="BW124" s="4"/>
      <c r="BX124" s="4"/>
    </row>
    <row r="125" customFormat="false" ht="16" hidden="false" customHeight="true" outlineLevel="0" collapsed="false">
      <c r="B125" s="1" t="n">
        <f aca="false">SUM(B105:B124)</f>
        <v>200006</v>
      </c>
      <c r="C125" s="1" t="n">
        <f aca="false">SUM(C105:C124)</f>
        <v>85565</v>
      </c>
      <c r="D125" s="1" t="n">
        <f aca="false">SUM(D105:D124)</f>
        <v>23816</v>
      </c>
      <c r="E125" s="1" t="n">
        <f aca="false">SUM(E105:E124)</f>
        <v>6179</v>
      </c>
      <c r="F125" s="1" t="n">
        <f aca="false">SUM(F105:F124)</f>
        <v>315566</v>
      </c>
    </row>
    <row r="126" customFormat="false" ht="16" hidden="false" customHeight="true" outlineLevel="0" collapsed="false"/>
    <row r="127" customFormat="false" ht="16" hidden="false" customHeight="true" outlineLevel="0" collapsed="false"/>
    <row r="128" customFormat="false" ht="16" hidden="false" customHeight="true" outlineLevel="0" collapsed="false"/>
    <row r="129" customFormat="false" ht="16" hidden="false" customHeight="true" outlineLevel="0" collapsed="false"/>
    <row r="130" customFormat="false" ht="16" hidden="false" customHeight="true" outlineLevel="0" collapsed="false"/>
    <row r="131" customFormat="false" ht="16" hidden="false" customHeight="true" outlineLevel="0" collapsed="false"/>
    <row r="132" customFormat="false" ht="16" hidden="false" customHeight="true" outlineLevel="0" collapsed="false"/>
    <row r="133" customFormat="false" ht="16" hidden="false" customHeight="true" outlineLevel="0" collapsed="false"/>
    <row r="134" customFormat="false" ht="16" hidden="false" customHeight="true" outlineLevel="0" collapsed="false"/>
    <row r="135" customFormat="false" ht="16" hidden="false" customHeight="true" outlineLevel="0" collapsed="false"/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/>
    <row r="142" customFormat="false" ht="16" hidden="false" customHeight="true" outlineLevel="0" collapsed="false"/>
    <row r="143" customFormat="false" ht="16" hidden="false" customHeight="true" outlineLevel="0" collapsed="false">
      <c r="B143" s="1" t="s">
        <v>59</v>
      </c>
    </row>
    <row r="144" customFormat="false" ht="16" hidden="false" customHeight="true" outlineLevel="0" collapsed="false">
      <c r="B144" s="1" t="s">
        <v>60</v>
      </c>
      <c r="C144" s="1" t="s">
        <v>61</v>
      </c>
    </row>
    <row r="145" customFormat="false" ht="16" hidden="false" customHeight="true" outlineLevel="0" collapsed="false">
      <c r="A145" s="1" t="n">
        <v>0</v>
      </c>
      <c r="B145" s="1" t="n">
        <v>196</v>
      </c>
      <c r="C145" s="1" t="n">
        <v>69</v>
      </c>
      <c r="H145" s="1" t="n">
        <f aca="false">EXP(3.96-0.145*A145)</f>
        <v>52.457326</v>
      </c>
      <c r="I145" s="1" t="n">
        <f aca="false">H145/H$154</f>
        <v>0.51724141</v>
      </c>
    </row>
    <row r="146" customFormat="false" ht="16" hidden="false" customHeight="true" outlineLevel="0" collapsed="false">
      <c r="A146" s="1" t="n">
        <v>5</v>
      </c>
      <c r="B146" s="1" t="n">
        <v>135</v>
      </c>
      <c r="C146" s="1" t="n">
        <v>26</v>
      </c>
      <c r="H146" s="1" t="n">
        <f aca="false">EXP(3.96-0.145*A146)</f>
        <v>25.406372</v>
      </c>
      <c r="I146" s="1" t="n">
        <f aca="false">H146/H$154</f>
        <v>0.25051272</v>
      </c>
    </row>
    <row r="147" customFormat="false" ht="16" hidden="false" customHeight="true" outlineLevel="0" collapsed="false">
      <c r="A147" s="1" t="n">
        <v>10</v>
      </c>
      <c r="B147" s="1" t="n">
        <v>68</v>
      </c>
      <c r="C147" s="1" t="n">
        <v>13</v>
      </c>
      <c r="H147" s="1" t="n">
        <f aca="false">EXP(3.96-0.145*A147)</f>
        <v>12.30493</v>
      </c>
      <c r="I147" s="1" t="n">
        <f aca="false">H147/H$154</f>
        <v>0.12132947</v>
      </c>
    </row>
    <row r="148" customFormat="false" ht="16" hidden="false" customHeight="true" outlineLevel="0" collapsed="false">
      <c r="A148" s="1" t="n">
        <v>15</v>
      </c>
      <c r="B148" s="1" t="n">
        <v>49</v>
      </c>
      <c r="C148" s="1" t="n">
        <v>3</v>
      </c>
      <c r="H148" s="1" t="n">
        <f aca="false">EXP(3.96-0.145*A148)</f>
        <v>5.9595799</v>
      </c>
      <c r="I148" s="1" t="n">
        <f aca="false">H148/H$154</f>
        <v>0.058762841</v>
      </c>
    </row>
    <row r="149" customFormat="false" ht="16" hidden="false" customHeight="true" outlineLevel="0" collapsed="false">
      <c r="A149" s="1" t="n">
        <v>20</v>
      </c>
      <c r="B149" s="1" t="n">
        <v>14</v>
      </c>
      <c r="C149" s="1" t="n">
        <v>2</v>
      </c>
      <c r="H149" s="1" t="n">
        <f aca="false">EXP(3.96-0.145*A149)</f>
        <v>2.886371</v>
      </c>
      <c r="I149" s="1" t="n">
        <f aca="false">H149/H$154</f>
        <v>0.028460288</v>
      </c>
    </row>
    <row r="150" customFormat="false" ht="16" hidden="false" customHeight="true" outlineLevel="0" collapsed="false">
      <c r="A150" s="1" t="n">
        <v>25</v>
      </c>
      <c r="B150" s="1" t="n">
        <v>3</v>
      </c>
      <c r="C150" s="1" t="n">
        <v>4</v>
      </c>
      <c r="H150" s="1" t="n">
        <f aca="false">EXP(3.96-0.145*A150)</f>
        <v>1.3979404</v>
      </c>
      <c r="I150" s="1" t="n">
        <f aca="false">H150/H$154</f>
        <v>0.013784017</v>
      </c>
    </row>
    <row r="151" customFormat="false" ht="16" hidden="false" customHeight="true" outlineLevel="0" collapsed="false">
      <c r="A151" s="1" t="n">
        <v>30</v>
      </c>
      <c r="B151" s="1" t="n">
        <v>2</v>
      </c>
      <c r="C151" s="1" t="n">
        <v>0</v>
      </c>
      <c r="H151" s="1" t="n">
        <f aca="false">EXP(3.96-0.145*A151)</f>
        <v>0.67705687</v>
      </c>
      <c r="I151" s="1" t="n">
        <f aca="false">H151/H$154</f>
        <v>0.0066759379</v>
      </c>
    </row>
    <row r="152" customFormat="false" ht="16" hidden="false" customHeight="true" outlineLevel="0" collapsed="false">
      <c r="A152" s="1" t="n">
        <v>35</v>
      </c>
      <c r="B152" s="1" t="n">
        <v>3</v>
      </c>
      <c r="H152" s="1" t="n">
        <f aca="false">EXP(3.96-0.145*A152)</f>
        <v>0.32791528</v>
      </c>
      <c r="I152" s="1" t="n">
        <f aca="false">H152/H$154</f>
        <v>0.0032333207</v>
      </c>
    </row>
    <row r="153" customFormat="false" ht="16" hidden="false" customHeight="true" outlineLevel="0" collapsed="false"/>
    <row r="154" customFormat="false" ht="16" hidden="false" customHeight="true" outlineLevel="0" collapsed="false">
      <c r="B154" s="1" t="n">
        <f aca="false">SUM(B145:B152)</f>
        <v>470</v>
      </c>
      <c r="C154" s="1" t="n">
        <f aca="false">SUM(C145:C152)</f>
        <v>117</v>
      </c>
      <c r="H154" s="1" t="n">
        <f aca="false">SUM(H145:H152)</f>
        <v>101.41749</v>
      </c>
    </row>
    <row r="155" customFormat="false" ht="16" hidden="false" customHeight="true" outlineLevel="0" collapsed="false"/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>
      <c r="A160" s="1" t="s">
        <v>62</v>
      </c>
      <c r="B160" s="1" t="s">
        <v>63</v>
      </c>
      <c r="C160" s="1" t="s">
        <v>64</v>
      </c>
    </row>
    <row r="161" customFormat="false" ht="16" hidden="false" customHeight="true" outlineLevel="0" collapsed="false">
      <c r="A161" s="1" t="s">
        <v>65</v>
      </c>
      <c r="B161" s="1" t="s">
        <v>63</v>
      </c>
      <c r="C161" s="1" t="s">
        <v>66</v>
      </c>
    </row>
    <row r="162" customFormat="false" ht="16" hidden="false" customHeight="true" outlineLevel="0" collapsed="false">
      <c r="A162" s="1" t="s">
        <v>67</v>
      </c>
      <c r="B162" s="1" t="s">
        <v>63</v>
      </c>
      <c r="C162" s="1" t="s">
        <v>68</v>
      </c>
    </row>
    <row r="163" customFormat="false" ht="16" hidden="false" customHeight="true" outlineLevel="0" collapsed="false">
      <c r="A163" s="1" t="s">
        <v>69</v>
      </c>
      <c r="B163" s="1" t="s">
        <v>63</v>
      </c>
      <c r="C163" s="1" t="s">
        <v>70</v>
      </c>
    </row>
    <row r="164" customFormat="false" ht="16" hidden="false" customHeight="true" outlineLevel="0" collapsed="false">
      <c r="A164" s="1" t="s">
        <v>71</v>
      </c>
      <c r="B164" s="1" t="s">
        <v>63</v>
      </c>
      <c r="C164" s="1" t="s">
        <v>72</v>
      </c>
    </row>
    <row r="165" customFormat="false" ht="16" hidden="false" customHeight="true" outlineLevel="0" collapsed="false">
      <c r="A165" s="1" t="s">
        <v>73</v>
      </c>
      <c r="B165" s="1" t="s">
        <v>63</v>
      </c>
      <c r="C165" s="1" t="s">
        <v>74</v>
      </c>
    </row>
    <row r="166" customFormat="false" ht="16" hidden="false" customHeight="true" outlineLevel="0" collapsed="false">
      <c r="A166" s="1" t="s">
        <v>75</v>
      </c>
      <c r="B166" s="1" t="s">
        <v>63</v>
      </c>
      <c r="C166" s="1" t="s">
        <v>74</v>
      </c>
    </row>
    <row r="167" customFormat="false" ht="16" hidden="false" customHeight="true" outlineLevel="0" collapsed="false">
      <c r="A167" s="1" t="s">
        <v>76</v>
      </c>
      <c r="B167" s="1" t="s">
        <v>63</v>
      </c>
      <c r="C167" s="1" t="s">
        <v>77</v>
      </c>
    </row>
    <row r="168" customFormat="false" ht="16" hidden="false" customHeight="true" outlineLevel="0" collapsed="false">
      <c r="A168" s="1" t="s">
        <v>78</v>
      </c>
      <c r="B168" s="1" t="s">
        <v>63</v>
      </c>
      <c r="C168" s="1" t="s">
        <v>79</v>
      </c>
    </row>
    <row r="169" customFormat="false" ht="16" hidden="false" customHeight="true" outlineLevel="0" collapsed="false">
      <c r="A169" s="1" t="s">
        <v>80</v>
      </c>
      <c r="B169" s="1" t="s">
        <v>63</v>
      </c>
      <c r="C169" s="1" t="s">
        <v>81</v>
      </c>
    </row>
    <row r="170" customFormat="false" ht="16" hidden="false" customHeight="true" outlineLevel="0" collapsed="false">
      <c r="A170" s="1" t="s">
        <v>82</v>
      </c>
      <c r="B170" s="1" t="s">
        <v>63</v>
      </c>
      <c r="C170" s="1" t="s">
        <v>81</v>
      </c>
    </row>
    <row r="171" customFormat="false" ht="16" hidden="false" customHeight="true" outlineLevel="0" collapsed="false">
      <c r="A171" s="1" t="s">
        <v>83</v>
      </c>
      <c r="B171" s="1" t="s">
        <v>63</v>
      </c>
      <c r="C171" s="1" t="s">
        <v>81</v>
      </c>
    </row>
    <row r="172" customFormat="false" ht="16" hidden="false" customHeight="true" outlineLevel="0" collapsed="false">
      <c r="A172" s="1" t="s">
        <v>84</v>
      </c>
      <c r="B172" s="1" t="s">
        <v>63</v>
      </c>
      <c r="C172" s="1" t="s">
        <v>81</v>
      </c>
    </row>
    <row r="173" customFormat="false" ht="16" hidden="false" customHeight="true" outlineLevel="0" collapsed="false">
      <c r="A173" s="1" t="s">
        <v>85</v>
      </c>
      <c r="B173" s="1" t="s">
        <v>63</v>
      </c>
      <c r="C173" s="1" t="s">
        <v>86</v>
      </c>
    </row>
    <row r="174" customFormat="false" ht="16" hidden="false" customHeight="true" outlineLevel="0" collapsed="false">
      <c r="A174" s="1" t="s">
        <v>87</v>
      </c>
      <c r="B174" s="1" t="s">
        <v>63</v>
      </c>
      <c r="C174" s="1" t="s">
        <v>88</v>
      </c>
    </row>
    <row r="175" customFormat="false" ht="16" hidden="false" customHeight="true" outlineLevel="0" collapsed="false">
      <c r="A175" s="1" t="s">
        <v>89</v>
      </c>
      <c r="B175" s="1" t="s">
        <v>63</v>
      </c>
      <c r="C175" s="1" t="s">
        <v>90</v>
      </c>
    </row>
    <row r="176" customFormat="false" ht="16" hidden="false" customHeight="true" outlineLevel="0" collapsed="false">
      <c r="A176" s="1" t="s">
        <v>91</v>
      </c>
      <c r="B176" s="1" t="s">
        <v>63</v>
      </c>
      <c r="C176" s="1" t="s">
        <v>90</v>
      </c>
    </row>
    <row r="177" customFormat="false" ht="16" hidden="false" customHeight="true" outlineLevel="0" collapsed="false">
      <c r="A177" s="1" t="s">
        <v>92</v>
      </c>
      <c r="B177" s="1" t="s">
        <v>63</v>
      </c>
      <c r="C177" s="1" t="s">
        <v>66</v>
      </c>
    </row>
    <row r="178" customFormat="false" ht="16" hidden="false" customHeight="true" outlineLevel="0" collapsed="false">
      <c r="A178" s="1" t="s">
        <v>93</v>
      </c>
      <c r="B178" s="1" t="s">
        <v>63</v>
      </c>
      <c r="C178" s="1" t="s">
        <v>90</v>
      </c>
    </row>
    <row r="179" customFormat="false" ht="16" hidden="false" customHeight="true" outlineLevel="0" collapsed="false">
      <c r="A179" s="1" t="s">
        <v>94</v>
      </c>
      <c r="B179" s="1" t="s">
        <v>63</v>
      </c>
      <c r="C179" s="1" t="s">
        <v>81</v>
      </c>
    </row>
    <row r="180" customFormat="false" ht="16" hidden="false" customHeight="true" outlineLevel="0" collapsed="false">
      <c r="A180" s="1" t="s">
        <v>95</v>
      </c>
      <c r="B180" s="1" t="s">
        <v>63</v>
      </c>
      <c r="C180" s="1" t="s">
        <v>96</v>
      </c>
    </row>
    <row r="181" customFormat="false" ht="16" hidden="false" customHeight="true" outlineLevel="0" collapsed="false">
      <c r="A181" s="1" t="s">
        <v>97</v>
      </c>
      <c r="B181" s="1" t="s">
        <v>63</v>
      </c>
      <c r="C181" s="1" t="s">
        <v>98</v>
      </c>
    </row>
    <row r="182" customFormat="false" ht="16" hidden="false" customHeight="true" outlineLevel="0" collapsed="false">
      <c r="A182" s="1" t="s">
        <v>99</v>
      </c>
      <c r="B182" s="1" t="s">
        <v>63</v>
      </c>
      <c r="C182" s="1" t="s">
        <v>100</v>
      </c>
    </row>
    <row r="183" customFormat="false" ht="16" hidden="false" customHeight="true" outlineLevel="0" collapsed="false">
      <c r="A183" s="1" t="s">
        <v>101</v>
      </c>
      <c r="B183" s="1" t="s">
        <v>63</v>
      </c>
      <c r="C183" s="1" t="s">
        <v>90</v>
      </c>
    </row>
    <row r="184" customFormat="false" ht="16" hidden="false" customHeight="true" outlineLevel="0" collapsed="false">
      <c r="A184" s="1" t="s">
        <v>102</v>
      </c>
      <c r="B184" s="1" t="s">
        <v>63</v>
      </c>
      <c r="C184" s="1" t="s">
        <v>66</v>
      </c>
    </row>
    <row r="185" customFormat="false" ht="16" hidden="false" customHeight="true" outlineLevel="0" collapsed="false">
      <c r="A185" s="1" t="s">
        <v>103</v>
      </c>
      <c r="B185" s="1" t="s">
        <v>63</v>
      </c>
      <c r="C185" s="1" t="s">
        <v>90</v>
      </c>
    </row>
    <row r="186" customFormat="false" ht="16" hidden="false" customHeight="true" outlineLevel="0" collapsed="false">
      <c r="A186" s="1" t="s">
        <v>104</v>
      </c>
      <c r="B186" s="1" t="s">
        <v>63</v>
      </c>
      <c r="C186" s="1" t="s">
        <v>74</v>
      </c>
    </row>
    <row r="187" customFormat="false" ht="16" hidden="false" customHeight="true" outlineLevel="0" collapsed="false">
      <c r="A187" s="1" t="s">
        <v>105</v>
      </c>
      <c r="B187" s="1" t="s">
        <v>63</v>
      </c>
      <c r="C187" s="1" t="s">
        <v>106</v>
      </c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6" hidden="false" customHeight="true" outlineLevel="0" collapsed="false">
      <c r="A1" s="1" t="s">
        <v>107</v>
      </c>
    </row>
    <row r="2" customFormat="false" ht="16" hidden="false" customHeight="true" outlineLevel="0" collapsed="false"/>
    <row r="3" customFormat="false" ht="16" hidden="false" customHeight="true" outlineLevel="0" collapsed="false">
      <c r="A3" s="1" t="s">
        <v>108</v>
      </c>
      <c r="G3" s="1" t="s">
        <v>109</v>
      </c>
      <c r="L3" s="1" t="s">
        <v>15</v>
      </c>
      <c r="R3" s="1" t="s">
        <v>110</v>
      </c>
      <c r="W3" s="1" t="s">
        <v>111</v>
      </c>
    </row>
    <row r="4" customFormat="false" ht="16" hidden="false" customHeight="true" outlineLevel="0" collapsed="false">
      <c r="B4" s="1" t="s">
        <v>19</v>
      </c>
      <c r="C4" s="1" t="s">
        <v>27</v>
      </c>
      <c r="D4" s="1" t="s">
        <v>58</v>
      </c>
      <c r="E4" s="1" t="s">
        <v>25</v>
      </c>
      <c r="F4" s="1" t="s">
        <v>112</v>
      </c>
      <c r="G4" s="1" t="s">
        <v>19</v>
      </c>
      <c r="H4" s="1" t="s">
        <v>27</v>
      </c>
      <c r="I4" s="1" t="s">
        <v>58</v>
      </c>
      <c r="J4" s="1" t="s">
        <v>25</v>
      </c>
      <c r="L4" s="1" t="s">
        <v>19</v>
      </c>
      <c r="M4" s="1" t="s">
        <v>27</v>
      </c>
      <c r="N4" s="1" t="s">
        <v>58</v>
      </c>
      <c r="O4" s="1" t="s">
        <v>25</v>
      </c>
      <c r="R4" s="1" t="s">
        <v>19</v>
      </c>
      <c r="S4" s="1" t="s">
        <v>57</v>
      </c>
      <c r="T4" s="1" t="s">
        <v>58</v>
      </c>
      <c r="U4" s="1" t="s">
        <v>25</v>
      </c>
      <c r="W4" s="1" t="s">
        <v>19</v>
      </c>
      <c r="X4" s="1" t="s">
        <v>57</v>
      </c>
      <c r="Y4" s="1" t="s">
        <v>58</v>
      </c>
      <c r="Z4" s="1" t="s">
        <v>25</v>
      </c>
    </row>
    <row r="5" customFormat="false" ht="16" hidden="false" customHeight="true" outlineLevel="0" collapsed="false">
      <c r="A5" s="1" t="n">
        <v>2.5</v>
      </c>
      <c r="B5" s="1" t="n">
        <v>56567</v>
      </c>
      <c r="C5" s="1" t="n">
        <v>20711</v>
      </c>
      <c r="D5" s="1" t="n">
        <v>1178</v>
      </c>
      <c r="E5" s="1" t="n">
        <v>10768</v>
      </c>
      <c r="F5" s="1" t="n">
        <f aca="false">B5+C5</f>
        <v>77278</v>
      </c>
      <c r="G5" s="4" t="n">
        <f aca="false">B5/B$24</f>
        <v>0.06536175</v>
      </c>
      <c r="H5" s="4" t="n">
        <f aca="false">C5/C$24</f>
        <v>0.055686258</v>
      </c>
      <c r="I5" s="4" t="n">
        <f aca="false">D5/D$24</f>
        <v>0.0043649029</v>
      </c>
      <c r="J5" s="4" t="n">
        <f aca="false">E5/E$24</f>
        <v>0.27352859</v>
      </c>
      <c r="K5" s="4" t="n">
        <f aca="false">F5/F$24</f>
        <v>0.06245353</v>
      </c>
      <c r="L5" s="4" t="n">
        <f aca="false">G5</f>
        <v>0.06536175</v>
      </c>
      <c r="M5" s="4" t="n">
        <f aca="false">H5</f>
        <v>0.055686258</v>
      </c>
      <c r="N5" s="4" t="n">
        <f aca="false">I5</f>
        <v>0.0043649029</v>
      </c>
      <c r="O5" s="4" t="n">
        <f aca="false">J5</f>
        <v>0.27352859</v>
      </c>
      <c r="P5" s="1"/>
      <c r="Q5" s="1"/>
      <c r="R5" s="4" t="n">
        <f aca="false">EXP(2.32-0.0006*$A5*$A5)/100</f>
        <v>0.10134863</v>
      </c>
      <c r="S5" s="4" t="n">
        <f aca="false">EXP(2.31-0.0005*$A5*$A5)/100</f>
        <v>0.10043242</v>
      </c>
      <c r="T5" s="4" t="n">
        <f aca="false">EXP(0.051+0.094*$A5-0.0015*$A5*$A5)/100</f>
        <v>0.013186718</v>
      </c>
      <c r="U5" s="4" t="n">
        <f aca="false">EXP(3.18-0.08*$A5)/100</f>
        <v>0.19687817</v>
      </c>
      <c r="V5" s="1"/>
      <c r="W5" s="4" t="n">
        <f aca="false">R5/R$24</f>
        <v>0.14258245</v>
      </c>
      <c r="X5" s="4" t="n">
        <f aca="false">S5/S$24</f>
        <v>0.12560655</v>
      </c>
      <c r="Y5" s="4" t="n">
        <f aca="false">T5/T$24</f>
        <v>0.032798781</v>
      </c>
      <c r="Z5" s="4" t="n">
        <f aca="false">U5/U$24</f>
        <v>0.32984503</v>
      </c>
    </row>
    <row r="6" customFormat="false" ht="16" hidden="false" customHeight="true" outlineLevel="0" collapsed="false">
      <c r="A6" s="1" t="n">
        <v>7.5</v>
      </c>
      <c r="B6" s="1" t="n">
        <v>81428</v>
      </c>
      <c r="C6" s="1" t="n">
        <v>27228</v>
      </c>
      <c r="D6" s="1" t="n">
        <v>3419</v>
      </c>
      <c r="E6" s="1" t="n">
        <v>9177</v>
      </c>
      <c r="F6" s="1" t="n">
        <f aca="false">B6+C6</f>
        <v>108656</v>
      </c>
      <c r="G6" s="4" t="n">
        <f aca="false">B6/B$24</f>
        <v>0.094088013</v>
      </c>
      <c r="H6" s="4" t="n">
        <f aca="false">C6/C$24</f>
        <v>0.073208702</v>
      </c>
      <c r="I6" s="4" t="n">
        <f aca="false">D6/D$24</f>
        <v>0.012668593</v>
      </c>
      <c r="J6" s="4" t="n">
        <f aca="false">E6/E$24</f>
        <v>0.23311403</v>
      </c>
      <c r="K6" s="4" t="n">
        <f aca="false">F6/F$24</f>
        <v>0.087812195</v>
      </c>
      <c r="L6" s="4" t="n">
        <f aca="false">G6+L5</f>
        <v>0.15944976</v>
      </c>
      <c r="M6" s="4" t="n">
        <f aca="false">H6+M5</f>
        <v>0.12889496</v>
      </c>
      <c r="N6" s="4" t="n">
        <f aca="false">I6+N5</f>
        <v>0.017033496</v>
      </c>
      <c r="O6" s="4" t="n">
        <f aca="false">J6+O5</f>
        <v>0.50664262</v>
      </c>
      <c r="P6" s="1"/>
      <c r="Q6" s="1"/>
      <c r="R6" s="4" t="n">
        <f aca="false">EXP(2.32-0.0006*$A6*$A6)/100</f>
        <v>0.098142092</v>
      </c>
      <c r="S6" s="4" t="n">
        <f aca="false">EXP(2.31-0.0005*$A6*$A6)/100</f>
        <v>0.09797233</v>
      </c>
      <c r="T6" s="4" t="n">
        <f aca="false">EXP(0.051+0.094*$A6-0.0015*$A6*$A6)/100</f>
        <v>0.019574155</v>
      </c>
      <c r="U6" s="4" t="n">
        <f aca="false">EXP(3.18-0.08*$A6)/100</f>
        <v>0.13197138</v>
      </c>
      <c r="V6" s="1"/>
      <c r="W6" s="4" t="n">
        <f aca="false">R6/R$24</f>
        <v>0.13807133</v>
      </c>
      <c r="X6" s="4" t="n">
        <f aca="false">S6/S$24</f>
        <v>0.12252982</v>
      </c>
      <c r="Y6" s="4" t="n">
        <f aca="false">T6/T$24</f>
        <v>0.048685991</v>
      </c>
      <c r="Z6" s="4" t="n">
        <f aca="false">U6/U$24</f>
        <v>0.22110173</v>
      </c>
    </row>
    <row r="7" customFormat="false" ht="16" hidden="false" customHeight="true" outlineLevel="0" collapsed="false">
      <c r="A7" s="1" t="n">
        <v>12.5</v>
      </c>
      <c r="B7" s="1" t="n">
        <v>142720</v>
      </c>
      <c r="C7" s="1" t="n">
        <v>43586</v>
      </c>
      <c r="D7" s="1" t="n">
        <v>12775</v>
      </c>
      <c r="E7" s="1" t="n">
        <v>9374</v>
      </c>
      <c r="F7" s="1" t="n">
        <f aca="false">B7+C7</f>
        <v>186306</v>
      </c>
      <c r="G7" s="4" t="n">
        <f aca="false">B7/B$24</f>
        <v>0.16490938</v>
      </c>
      <c r="H7" s="4" t="n">
        <f aca="false">C7/C$24</f>
        <v>0.11719092</v>
      </c>
      <c r="I7" s="4" t="n">
        <f aca="false">D7/D$24</f>
        <v>0.047335853</v>
      </c>
      <c r="J7" s="4" t="n">
        <f aca="false">E7/E$24</f>
        <v>0.23811822</v>
      </c>
      <c r="K7" s="4" t="n">
        <f aca="false">F7/F$24</f>
        <v>0.15056636</v>
      </c>
      <c r="L7" s="4" t="n">
        <f aca="false">G7+L6</f>
        <v>0.32435914</v>
      </c>
      <c r="M7" s="4" t="n">
        <f aca="false">H7+M6</f>
        <v>0.24608588</v>
      </c>
      <c r="N7" s="4" t="n">
        <f aca="false">I7+N6</f>
        <v>0.064369349</v>
      </c>
      <c r="O7" s="4" t="n">
        <f aca="false">J7+O6</f>
        <v>0.74476084</v>
      </c>
      <c r="P7" s="1"/>
      <c r="Q7" s="1"/>
      <c r="R7" s="4" t="n">
        <f aca="false">EXP(2.32-0.0006*$A7*$A7)/100</f>
        <v>0.092030159</v>
      </c>
      <c r="S7" s="4" t="n">
        <f aca="false">EXP(2.31-0.0005*$A7*$A7)/100</f>
        <v>0.093231448</v>
      </c>
      <c r="T7" s="4" t="n">
        <f aca="false">EXP(0.051+0.094*$A7-0.0015*$A7*$A7)/100</f>
        <v>0.026956113</v>
      </c>
      <c r="U7" s="4" t="n">
        <f aca="false">EXP(3.18-0.08*$A7)/100</f>
        <v>0.088463063</v>
      </c>
      <c r="V7" s="1"/>
      <c r="W7" s="4" t="n">
        <f aca="false">R7/R$24</f>
        <v>0.12947275</v>
      </c>
      <c r="X7" s="4" t="n">
        <f aca="false">S7/S$24</f>
        <v>0.1166006</v>
      </c>
      <c r="Y7" s="4" t="n">
        <f aca="false">T7/T$24</f>
        <v>0.06704683</v>
      </c>
      <c r="Z7" s="4" t="n">
        <f aca="false">U7/U$24</f>
        <v>0.14820892</v>
      </c>
    </row>
    <row r="8" customFormat="false" ht="16" hidden="false" customHeight="true" outlineLevel="0" collapsed="false">
      <c r="A8" s="1" t="n">
        <v>17.5</v>
      </c>
      <c r="B8" s="1" t="n">
        <v>98224</v>
      </c>
      <c r="C8" s="1" t="n">
        <v>33956</v>
      </c>
      <c r="D8" s="1" t="n">
        <v>12675</v>
      </c>
      <c r="E8" s="1" t="n">
        <v>3102</v>
      </c>
      <c r="F8" s="1" t="n">
        <f aca="false">B8+C8</f>
        <v>132180</v>
      </c>
      <c r="G8" s="4" t="n">
        <f aca="false">B8/B$24</f>
        <v>0.11349537</v>
      </c>
      <c r="H8" s="4" t="n">
        <f aca="false">C8/C$24</f>
        <v>0.091298468</v>
      </c>
      <c r="I8" s="4" t="n">
        <f aca="false">D8/D$24</f>
        <v>0.046965318</v>
      </c>
      <c r="J8" s="4" t="n">
        <f aca="false">E8/E$24</f>
        <v>0.078796962</v>
      </c>
      <c r="K8" s="4" t="n">
        <f aca="false">F8/F$24</f>
        <v>0.10682352</v>
      </c>
      <c r="L8" s="4" t="n">
        <f aca="false">G8+L7</f>
        <v>0.43785451</v>
      </c>
      <c r="M8" s="4" t="n">
        <f aca="false">H8+M7</f>
        <v>0.33738435</v>
      </c>
      <c r="N8" s="4" t="n">
        <f aca="false">I8+N7</f>
        <v>0.11133467</v>
      </c>
      <c r="O8" s="4" t="n">
        <f aca="false">J8+O7</f>
        <v>0.8235578</v>
      </c>
      <c r="P8" s="1"/>
      <c r="Q8" s="1"/>
      <c r="R8" s="4" t="n">
        <f aca="false">EXP(2.32-0.0006*$A8*$A8)/100</f>
        <v>0.083568474</v>
      </c>
      <c r="S8" s="4" t="n">
        <f aca="false">EXP(2.31-0.0005*$A8*$A8)/100</f>
        <v>0.086546781</v>
      </c>
      <c r="T8" s="4" t="n">
        <f aca="false">EXP(0.051+0.094*$A8-0.0015*$A8*$A8)/100</f>
        <v>0.034439704</v>
      </c>
      <c r="U8" s="4" t="n">
        <f aca="false">EXP(3.18-0.08*$A8)/100</f>
        <v>0.059298564</v>
      </c>
      <c r="V8" s="1"/>
      <c r="W8" s="4" t="n">
        <f aca="false">R8/R$24</f>
        <v>0.11756841</v>
      </c>
      <c r="X8" s="4" t="n">
        <f aca="false">S8/S$24</f>
        <v>0.10824037</v>
      </c>
      <c r="Y8" s="4" t="n">
        <f aca="false">T8/T$24</f>
        <v>0.085660459</v>
      </c>
      <c r="Z8" s="4" t="n">
        <f aca="false">U8/U$24</f>
        <v>0.099347412</v>
      </c>
    </row>
    <row r="9" customFormat="false" ht="16" hidden="false" customHeight="true" outlineLevel="0" collapsed="false">
      <c r="A9" s="1" t="n">
        <v>22.5</v>
      </c>
      <c r="B9" s="1" t="n">
        <v>46207</v>
      </c>
      <c r="C9" s="1" t="n">
        <v>22176</v>
      </c>
      <c r="D9" s="1" t="n">
        <v>10238</v>
      </c>
      <c r="E9" s="1" t="n">
        <v>1250</v>
      </c>
      <c r="F9" s="1" t="n">
        <f aca="false">B9+C9</f>
        <v>68383</v>
      </c>
      <c r="G9" s="4" t="n">
        <f aca="false">B9/B$24</f>
        <v>0.05339103</v>
      </c>
      <c r="H9" s="4" t="n">
        <f aca="false">C9/C$24</f>
        <v>0.059625245</v>
      </c>
      <c r="I9" s="4" t="n">
        <f aca="false">D9/D$24</f>
        <v>0.037935379</v>
      </c>
      <c r="J9" s="4" t="n">
        <f aca="false">E9/E$24</f>
        <v>0.031752483</v>
      </c>
      <c r="K9" s="4" t="n">
        <f aca="false">F9/F$24</f>
        <v>0.055264885</v>
      </c>
      <c r="L9" s="4" t="n">
        <f aca="false">G9+L8</f>
        <v>0.49124554</v>
      </c>
      <c r="M9" s="4" t="n">
        <f aca="false">H9+M8</f>
        <v>0.3970096</v>
      </c>
      <c r="N9" s="4" t="n">
        <f aca="false">I9+N8</f>
        <v>0.14927005</v>
      </c>
      <c r="O9" s="4" t="n">
        <f aca="false">J9+O8</f>
        <v>0.85531029</v>
      </c>
      <c r="P9" s="1"/>
      <c r="Q9" s="1"/>
      <c r="R9" s="4" t="n">
        <f aca="false">EXP(2.32-0.0006*$A9*$A9)/100</f>
        <v>0.073483901</v>
      </c>
      <c r="S9" s="4" t="n">
        <f aca="false">EXP(2.31-0.0005*$A9*$A9)/100</f>
        <v>0.07837344</v>
      </c>
      <c r="T9" s="4" t="n">
        <f aca="false">EXP(0.051+0.094*$A9-0.0015*$A9*$A9)/100</f>
        <v>0.040821549</v>
      </c>
      <c r="U9" s="4" t="n">
        <f aca="false">EXP(3.18-0.08*$A9)/100</f>
        <v>0.039749016</v>
      </c>
      <c r="V9" s="1"/>
      <c r="W9" s="4" t="n">
        <f aca="false">R9/R$24</f>
        <v>0.10338092</v>
      </c>
      <c r="X9" s="4" t="n">
        <f aca="false">S9/S$24</f>
        <v>0.098018319</v>
      </c>
      <c r="Y9" s="4" t="n">
        <f aca="false">T9/T$24</f>
        <v>0.10153376</v>
      </c>
      <c r="Z9" s="4" t="n">
        <f aca="false">U9/U$24</f>
        <v>0.066594562</v>
      </c>
    </row>
    <row r="10" customFormat="false" ht="16" hidden="false" customHeight="true" outlineLevel="0" collapsed="false">
      <c r="A10" s="1" t="n">
        <v>27.5</v>
      </c>
      <c r="B10" s="1" t="n">
        <v>209547</v>
      </c>
      <c r="C10" s="1" t="n">
        <v>78219</v>
      </c>
      <c r="D10" s="1" t="n">
        <v>61059</v>
      </c>
      <c r="E10" s="1" t="n">
        <v>3928</v>
      </c>
      <c r="F10" s="1" t="n">
        <f aca="false">B10+C10</f>
        <v>287766</v>
      </c>
      <c r="G10" s="4" t="n">
        <f aca="false">B10/B$24</f>
        <v>0.2421263</v>
      </c>
      <c r="H10" s="4" t="n">
        <f aca="false">C10/C$24</f>
        <v>0.21030966</v>
      </c>
      <c r="I10" s="4" t="n">
        <f aca="false">D10/D$24</f>
        <v>0.226245</v>
      </c>
      <c r="J10" s="4" t="n">
        <f aca="false">E10/E$24</f>
        <v>0.099779003</v>
      </c>
      <c r="K10" s="4" t="n">
        <f aca="false">F10/F$24</f>
        <v>0.23256299</v>
      </c>
      <c r="L10" s="4" t="n">
        <f aca="false">G10+L9</f>
        <v>0.73337185</v>
      </c>
      <c r="M10" s="4" t="n">
        <f aca="false">H10+M9</f>
        <v>0.60731926</v>
      </c>
      <c r="N10" s="4" t="n">
        <f aca="false">I10+N9</f>
        <v>0.37551504</v>
      </c>
      <c r="O10" s="4" t="n">
        <f aca="false">J10+O9</f>
        <v>0.95508929</v>
      </c>
      <c r="P10" s="1"/>
      <c r="Q10" s="1"/>
      <c r="R10" s="4" t="n">
        <f aca="false">EXP(2.32-0.0006*$A10*$A10)/100</f>
        <v>0.062571903</v>
      </c>
      <c r="S10" s="4" t="n">
        <f aca="false">EXP(2.31-0.0005*$A10*$A10)/100</f>
        <v>0.069233517</v>
      </c>
      <c r="T10" s="4" t="n">
        <f aca="false">EXP(0.051+0.094*$A10-0.0015*$A10*$A10)/100</f>
        <v>0.044889777</v>
      </c>
      <c r="U10" s="4" t="n">
        <f aca="false">EXP(3.18-0.08*$A10)/100</f>
        <v>0.026644562</v>
      </c>
      <c r="V10" s="1"/>
      <c r="W10" s="4" t="n">
        <f aca="false">R10/R$24</f>
        <v>0.088029361</v>
      </c>
      <c r="X10" s="4" t="n">
        <f aca="false">S10/S$24</f>
        <v>0.086587407</v>
      </c>
      <c r="Y10" s="4" t="n">
        <f aca="false">T10/T$24</f>
        <v>0.1116525</v>
      </c>
      <c r="Z10" s="4" t="n">
        <f aca="false">U10/U$24</f>
        <v>0.04463967</v>
      </c>
    </row>
    <row r="11" customFormat="false" ht="16" hidden="false" customHeight="true" outlineLevel="0" collapsed="false">
      <c r="A11" s="1" t="n">
        <v>32.5</v>
      </c>
      <c r="B11" s="1" t="n">
        <v>28204</v>
      </c>
      <c r="C11" s="1" t="n">
        <v>18155</v>
      </c>
      <c r="D11" s="1" t="n">
        <v>11173</v>
      </c>
      <c r="E11" s="1" t="n">
        <v>249</v>
      </c>
      <c r="F11" s="1" t="n">
        <f aca="false">B11+C11</f>
        <v>46359</v>
      </c>
      <c r="G11" s="4" t="n">
        <f aca="false">B11/B$24</f>
        <v>0.032589015</v>
      </c>
      <c r="H11" s="4" t="n">
        <f aca="false">C11/C$24</f>
        <v>0.048813867</v>
      </c>
      <c r="I11" s="4" t="n">
        <f aca="false">D11/D$24</f>
        <v>0.041399881</v>
      </c>
      <c r="J11" s="4" t="n">
        <f aca="false">E11/E$24</f>
        <v>0.0063250946</v>
      </c>
      <c r="K11" s="4" t="n">
        <f aca="false">F11/F$24</f>
        <v>0.037465815</v>
      </c>
      <c r="L11" s="4" t="n">
        <f aca="false">G11+L10</f>
        <v>0.76596086</v>
      </c>
      <c r="M11" s="4" t="n">
        <f aca="false">H11+M10</f>
        <v>0.65613312</v>
      </c>
      <c r="N11" s="4" t="n">
        <f aca="false">I11+N10</f>
        <v>0.41691493</v>
      </c>
      <c r="O11" s="4" t="n">
        <f aca="false">J11+O10</f>
        <v>0.96141438</v>
      </c>
      <c r="P11" s="1"/>
      <c r="Q11" s="1"/>
      <c r="R11" s="4" t="n">
        <f aca="false">EXP(2.32-0.0006*$A11*$A11)/100</f>
        <v>0.051594565</v>
      </c>
      <c r="S11" s="4" t="n">
        <f aca="false">EXP(2.31-0.0005*$A11*$A11)/100</f>
        <v>0.059661391</v>
      </c>
      <c r="T11" s="4" t="n">
        <f aca="false">EXP(0.051+0.094*$A11-0.0015*$A11*$A11)/100</f>
        <v>0.045796611</v>
      </c>
      <c r="U11" s="4" t="n">
        <f aca="false">EXP(3.18-0.08*$A11)/100</f>
        <v>0.017860384</v>
      </c>
      <c r="V11" s="1"/>
      <c r="W11" s="4" t="n">
        <f aca="false">R11/R$24</f>
        <v>0.07258588</v>
      </c>
      <c r="X11" s="4" t="n">
        <f aca="false">S11/S$24</f>
        <v>0.074615957</v>
      </c>
      <c r="Y11" s="4" t="n">
        <f aca="false">T11/T$24</f>
        <v>0.11390803</v>
      </c>
      <c r="Z11" s="4" t="n">
        <f aca="false">U11/U$24</f>
        <v>0.029922866</v>
      </c>
    </row>
    <row r="12" customFormat="false" ht="16" hidden="false" customHeight="true" outlineLevel="0" collapsed="false">
      <c r="A12" s="1" t="n">
        <v>37.5</v>
      </c>
      <c r="B12" s="1" t="n">
        <v>32251</v>
      </c>
      <c r="C12" s="1" t="n">
        <v>21040</v>
      </c>
      <c r="D12" s="1" t="n">
        <v>14684</v>
      </c>
      <c r="E12" s="1" t="n">
        <v>156</v>
      </c>
      <c r="F12" s="1" t="n">
        <f aca="false">B12+C12</f>
        <v>53291</v>
      </c>
      <c r="G12" s="4" t="n">
        <f aca="false">B12/B$24</f>
        <v>0.037265222</v>
      </c>
      <c r="H12" s="4" t="n">
        <f aca="false">C12/C$24</f>
        <v>0.056570849</v>
      </c>
      <c r="I12" s="4" t="n">
        <f aca="false">D12/D$24</f>
        <v>0.054409367</v>
      </c>
      <c r="J12" s="4" t="n">
        <f aca="false">E12/E$24</f>
        <v>0.0039627099</v>
      </c>
      <c r="K12" s="4" t="n">
        <f aca="false">F12/F$24</f>
        <v>0.043068028</v>
      </c>
      <c r="L12" s="4" t="n">
        <f aca="false">G12+L11</f>
        <v>0.80322609</v>
      </c>
      <c r="M12" s="4" t="n">
        <f aca="false">H12+M11</f>
        <v>0.71270397</v>
      </c>
      <c r="N12" s="4" t="n">
        <f aca="false">I12+N11</f>
        <v>0.47132429</v>
      </c>
      <c r="O12" s="4" t="n">
        <f aca="false">J12+O11</f>
        <v>0.96537709</v>
      </c>
      <c r="P12" s="1"/>
      <c r="Q12" s="1"/>
      <c r="R12" s="4" t="n">
        <f aca="false">EXP(2.32-0.0006*$A12*$A12)/100</f>
        <v>0.041197037</v>
      </c>
      <c r="S12" s="4" t="n">
        <f aca="false">EXP(2.31-0.0005*$A12*$A12)/100</f>
        <v>0.050153339</v>
      </c>
      <c r="T12" s="4" t="n">
        <f aca="false">EXP(0.051+0.094*$A12-0.0015*$A12*$A12)/100</f>
        <v>0.043345812</v>
      </c>
      <c r="U12" s="4" t="n">
        <f aca="false">EXP(3.18-0.08*$A12)/100</f>
        <v>0.011972174</v>
      </c>
      <c r="V12" s="1"/>
      <c r="W12" s="4" t="n">
        <f aca="false">R12/R$24</f>
        <v>0.057958104</v>
      </c>
      <c r="X12" s="4" t="n">
        <f aca="false">S12/S$24</f>
        <v>0.062724642</v>
      </c>
      <c r="Y12" s="4" t="n">
        <f aca="false">T12/T$24</f>
        <v>0.10781226</v>
      </c>
      <c r="Z12" s="4" t="n">
        <f aca="false">U12/U$24</f>
        <v>0.020057897</v>
      </c>
    </row>
    <row r="13" customFormat="false" ht="16" hidden="false" customHeight="true" outlineLevel="0" collapsed="false">
      <c r="A13" s="1" t="n">
        <v>42.5</v>
      </c>
      <c r="B13" s="1" t="n">
        <v>80175</v>
      </c>
      <c r="C13" s="1" t="n">
        <v>42386</v>
      </c>
      <c r="D13" s="1" t="n">
        <v>39196</v>
      </c>
      <c r="E13" s="1" t="n">
        <v>638</v>
      </c>
      <c r="F13" s="1" t="n">
        <f aca="false">B13+C13</f>
        <v>122561</v>
      </c>
      <c r="G13" s="4" t="n">
        <f aca="false">B13/B$24</f>
        <v>0.092640202</v>
      </c>
      <c r="H13" s="4" t="n">
        <f aca="false">C13/C$24</f>
        <v>0.11396445</v>
      </c>
      <c r="I13" s="4" t="n">
        <f aca="false">D13/D$24</f>
        <v>0.14523492</v>
      </c>
      <c r="J13" s="4" t="n">
        <f aca="false">E13/E$24</f>
        <v>0.016206467</v>
      </c>
      <c r="K13" s="4" t="n">
        <f aca="false">F13/F$24</f>
        <v>0.099049757</v>
      </c>
      <c r="L13" s="4" t="n">
        <f aca="false">G13+L12</f>
        <v>0.89586629</v>
      </c>
      <c r="M13" s="4" t="n">
        <f aca="false">H13+M12</f>
        <v>0.82666842</v>
      </c>
      <c r="N13" s="4" t="n">
        <f aca="false">I13+N12</f>
        <v>0.61655921</v>
      </c>
      <c r="O13" s="4" t="n">
        <f aca="false">J13+O12</f>
        <v>0.98158356</v>
      </c>
      <c r="P13" s="1"/>
      <c r="Q13" s="1"/>
      <c r="R13" s="4" t="n">
        <f aca="false">EXP(2.32-0.0006*$A13*$A13)/100</f>
        <v>0.031854108</v>
      </c>
      <c r="S13" s="4" t="n">
        <f aca="false">EXP(2.31-0.0005*$A13*$A13)/100</f>
        <v>0.041127833</v>
      </c>
      <c r="T13" s="4" t="n">
        <f aca="false">EXP(0.051+0.094*$A13-0.0015*$A13*$A13)/100</f>
        <v>0.03806176</v>
      </c>
      <c r="U13" s="4" t="n">
        <f aca="false">EXP(3.18-0.08*$A13)/100</f>
        <v>0.008025188</v>
      </c>
      <c r="V13" s="1"/>
      <c r="W13" s="4" t="n">
        <f aca="false">R13/R$24</f>
        <v>0.044813992</v>
      </c>
      <c r="X13" s="4" t="n">
        <f aca="false">S13/S$24</f>
        <v>0.051436827</v>
      </c>
      <c r="Y13" s="4" t="n">
        <f aca="false">T13/T$24</f>
        <v>0.094669449</v>
      </c>
      <c r="Z13" s="4" t="n">
        <f aca="false">U13/U$24</f>
        <v>0.01344521</v>
      </c>
    </row>
    <row r="14" customFormat="false" ht="16" hidden="false" customHeight="true" outlineLevel="0" collapsed="false">
      <c r="A14" s="1" t="n">
        <v>47.5</v>
      </c>
      <c r="B14" s="1" t="n">
        <v>13178</v>
      </c>
      <c r="C14" s="1" t="n">
        <v>11931</v>
      </c>
      <c r="D14" s="1" t="n">
        <v>11977</v>
      </c>
      <c r="E14" s="1" t="n">
        <v>105</v>
      </c>
      <c r="F14" s="1" t="n">
        <f aca="false">B14+C14</f>
        <v>25109</v>
      </c>
      <c r="G14" s="4" t="n">
        <f aca="false">B14/B$24</f>
        <v>0.015226849</v>
      </c>
      <c r="H14" s="4" t="n">
        <f aca="false">C14/C$24</f>
        <v>0.032079221</v>
      </c>
      <c r="I14" s="4" t="n">
        <f aca="false">D14/D$24</f>
        <v>0.044378983</v>
      </c>
      <c r="J14" s="4" t="n">
        <f aca="false">E14/E$24</f>
        <v>0.0026672086</v>
      </c>
      <c r="K14" s="4" t="n">
        <f aca="false">F14/F$24</f>
        <v>0.020292266</v>
      </c>
      <c r="L14" s="4" t="n">
        <f aca="false">G14+L13</f>
        <v>0.91109314</v>
      </c>
      <c r="M14" s="4" t="n">
        <f aca="false">H14+M13</f>
        <v>0.85874764</v>
      </c>
      <c r="N14" s="4" t="n">
        <f aca="false">I14+N13</f>
        <v>0.66093819</v>
      </c>
      <c r="O14" s="4" t="n">
        <f aca="false">J14+O13</f>
        <v>0.98425077</v>
      </c>
      <c r="P14" s="1"/>
      <c r="Q14" s="1"/>
      <c r="R14" s="4" t="n">
        <f aca="false">EXP(2.32-0.0006*$A14*$A14)/100</f>
        <v>0.023850766</v>
      </c>
      <c r="S14" s="4" t="n">
        <f aca="false">EXP(2.31-0.0005*$A14*$A14)/100</f>
        <v>0.032900409</v>
      </c>
      <c r="T14" s="4" t="n">
        <f aca="false">EXP(0.051+0.094*$A14-0.0015*$A14*$A14)/100</f>
        <v>0.03100691</v>
      </c>
      <c r="U14" s="4" t="n">
        <f aca="false">EXP(3.18-0.08*$A14)/100</f>
        <v>0.0053794444</v>
      </c>
      <c r="V14" s="1"/>
      <c r="W14" s="4" t="n">
        <f aca="false">R14/R$24</f>
        <v>0.033554481</v>
      </c>
      <c r="X14" s="4" t="n">
        <f aca="false">S14/S$24</f>
        <v>0.041147139</v>
      </c>
      <c r="Y14" s="4" t="n">
        <f aca="false">T14/T$24</f>
        <v>0.077122212</v>
      </c>
      <c r="Z14" s="4" t="n">
        <f aca="false">U14/U$24</f>
        <v>0.0090125939</v>
      </c>
    </row>
    <row r="15" customFormat="false" ht="16" hidden="false" customHeight="true" outlineLevel="0" collapsed="false">
      <c r="A15" s="1" t="n">
        <v>52.5</v>
      </c>
      <c r="B15" s="1" t="n">
        <v>5048</v>
      </c>
      <c r="C15" s="1" t="n">
        <v>5479</v>
      </c>
      <c r="D15" s="1" t="n">
        <v>6462</v>
      </c>
      <c r="E15" s="1" t="n">
        <v>34</v>
      </c>
      <c r="F15" s="1" t="n">
        <f aca="false">B15+C15</f>
        <v>10527</v>
      </c>
      <c r="G15" s="4" t="n">
        <f aca="false">B15/B$24</f>
        <v>0.0058328374</v>
      </c>
      <c r="H15" s="4" t="n">
        <f aca="false">C15/C$24</f>
        <v>0.014731544</v>
      </c>
      <c r="I15" s="4" t="n">
        <f aca="false">D15/D$24</f>
        <v>0.023943975</v>
      </c>
      <c r="J15" s="4" t="n">
        <f aca="false">E15/E$24</f>
        <v>0.00086366754</v>
      </c>
      <c r="K15" s="4" t="n">
        <f aca="false">F15/F$24</f>
        <v>0.0085075741</v>
      </c>
      <c r="L15" s="4" t="n">
        <f aca="false">G15+L14</f>
        <v>0.91692597</v>
      </c>
      <c r="M15" s="4" t="n">
        <f aca="false">H15+M14</f>
        <v>0.87347919</v>
      </c>
      <c r="N15" s="4" t="n">
        <f aca="false">I15+N14</f>
        <v>0.68488217</v>
      </c>
      <c r="O15" s="4" t="n">
        <f aca="false">J15+O14</f>
        <v>0.98511444</v>
      </c>
      <c r="P15" s="1"/>
      <c r="Q15" s="1"/>
      <c r="R15" s="4" t="n">
        <f aca="false">EXP(2.32-0.0006*$A15*$A15)/100</f>
        <v>0.017293252</v>
      </c>
      <c r="S15" s="4" t="n">
        <f aca="false">EXP(2.31-0.0005*$A15*$A15)/100</f>
        <v>0.025674161</v>
      </c>
      <c r="T15" s="4" t="n">
        <f aca="false">EXP(0.051+0.094*$A15-0.0015*$A15*$A15)/100</f>
        <v>0.023434519</v>
      </c>
      <c r="U15" s="4" t="n">
        <f aca="false">EXP(3.18-0.08*$A15)/100</f>
        <v>0.0036059494</v>
      </c>
      <c r="V15" s="1"/>
      <c r="W15" s="4" t="n">
        <f aca="false">R15/R$24</f>
        <v>0.024329033</v>
      </c>
      <c r="X15" s="4" t="n">
        <f aca="false">S15/S$24</f>
        <v>0.032109579</v>
      </c>
      <c r="Y15" s="4" t="n">
        <f aca="false">T15/T$24</f>
        <v>0.058287714</v>
      </c>
      <c r="Z15" s="4" t="n">
        <f aca="false">U15/U$24</f>
        <v>0.0060413224</v>
      </c>
    </row>
    <row r="16" customFormat="false" ht="16" hidden="false" customHeight="true" outlineLevel="0" collapsed="false">
      <c r="A16" s="1" t="n">
        <v>57.5</v>
      </c>
      <c r="B16" s="1" t="n">
        <v>50901</v>
      </c>
      <c r="C16" s="1" t="n">
        <v>28862</v>
      </c>
      <c r="D16" s="1" t="n">
        <v>46655</v>
      </c>
      <c r="E16" s="1" t="n">
        <v>473</v>
      </c>
      <c r="F16" s="1" t="n">
        <f aca="false">B16+C16</f>
        <v>79763</v>
      </c>
      <c r="G16" s="4" t="n">
        <f aca="false">B16/B$24</f>
        <v>0.058814829</v>
      </c>
      <c r="H16" s="4" t="n">
        <f aca="false">C16/C$24</f>
        <v>0.077602084</v>
      </c>
      <c r="I16" s="4" t="n">
        <f aca="false">D16/D$24</f>
        <v>0.17287313</v>
      </c>
      <c r="J16" s="4" t="n">
        <f aca="false">E16/E$24</f>
        <v>0.01201514</v>
      </c>
      <c r="K16" s="4" t="n">
        <f aca="false">F16/F$24</f>
        <v>0.064461825</v>
      </c>
      <c r="L16" s="4" t="n">
        <f aca="false">G16+L15</f>
        <v>0.9757408</v>
      </c>
      <c r="M16" s="4" t="n">
        <f aca="false">H16+M15</f>
        <v>0.95108127</v>
      </c>
      <c r="N16" s="4" t="n">
        <f aca="false">I16+N15</f>
        <v>0.8577553</v>
      </c>
      <c r="O16" s="4" t="n">
        <f aca="false">J16+O15</f>
        <v>0.99712958</v>
      </c>
      <c r="P16" s="1"/>
      <c r="Q16" s="1"/>
      <c r="R16" s="4" t="n">
        <f aca="false">EXP(2.32-0.0006*$A16*$A16)/100</f>
        <v>0.012141949</v>
      </c>
      <c r="S16" s="4" t="n">
        <f aca="false">EXP(2.31-0.0005*$A16*$A16)/100</f>
        <v>0.019544328</v>
      </c>
      <c r="T16" s="4" t="n">
        <f aca="false">EXP(0.051+0.094*$A16-0.0015*$A16*$A16)/100</f>
        <v>0.016431662</v>
      </c>
      <c r="U16" s="4" t="n">
        <f aca="false">EXP(3.18-0.08*$A16)/100</f>
        <v>0.0024171402</v>
      </c>
      <c r="V16" s="1"/>
      <c r="W16" s="4" t="n">
        <f aca="false">R16/R$24</f>
        <v>0.017081917</v>
      </c>
      <c r="X16" s="4" t="n">
        <f aca="false">S16/S$24</f>
        <v>0.024443257</v>
      </c>
      <c r="Y16" s="4" t="n">
        <f aca="false">T16/T$24</f>
        <v>0.040869797</v>
      </c>
      <c r="Z16" s="4" t="n">
        <f aca="false">U16/U$24</f>
        <v>0.0040496195</v>
      </c>
    </row>
    <row r="17" customFormat="false" ht="16" hidden="false" customHeight="true" outlineLevel="0" collapsed="false">
      <c r="A17" s="1" t="n">
        <v>62.5</v>
      </c>
      <c r="B17" s="1" t="n">
        <v>2808</v>
      </c>
      <c r="C17" s="1" t="n">
        <v>3129</v>
      </c>
      <c r="D17" s="1" t="n">
        <v>3670</v>
      </c>
      <c r="E17" s="1" t="n">
        <v>85</v>
      </c>
      <c r="F17" s="1" t="n">
        <f aca="false">B17+C17</f>
        <v>5937</v>
      </c>
      <c r="G17" s="4" t="n">
        <f aca="false">B17/B$24</f>
        <v>0.0032445736</v>
      </c>
      <c r="H17" s="4" t="n">
        <f aca="false">C17/C$24</f>
        <v>0.0084130317</v>
      </c>
      <c r="I17" s="4" t="n">
        <f aca="false">D17/D$24</f>
        <v>0.013598636</v>
      </c>
      <c r="J17" s="4" t="n">
        <f aca="false">E17/E$24</f>
        <v>0.0021591688</v>
      </c>
      <c r="K17" s="4" t="n">
        <f aca="false">F17/F$24</f>
        <v>0.0047980876</v>
      </c>
      <c r="L17" s="4" t="n">
        <f aca="false">G17+L16</f>
        <v>0.97898538</v>
      </c>
      <c r="M17" s="4" t="n">
        <f aca="false">H17+M16</f>
        <v>0.9594943</v>
      </c>
      <c r="N17" s="4" t="n">
        <f aca="false">I17+N16</f>
        <v>0.87135394</v>
      </c>
      <c r="O17" s="4" t="n">
        <f aca="false">J17+O16</f>
        <v>0.99928874</v>
      </c>
      <c r="P17" s="1"/>
      <c r="Q17" s="1"/>
      <c r="R17" s="4" t="n">
        <f aca="false">EXP(2.32-0.0006*$A17*$A17)/100</f>
        <v>0.0082553902</v>
      </c>
      <c r="S17" s="4" t="n">
        <f aca="false">EXP(2.31-0.0005*$A17*$A17)/100</f>
        <v>0.014513585</v>
      </c>
      <c r="T17" s="4" t="n">
        <f aca="false">EXP(0.051+0.094*$A17-0.0015*$A17*$A17)/100</f>
        <v>0.010688946</v>
      </c>
      <c r="U17" s="4" t="n">
        <f aca="false">EXP(3.18-0.08*$A17)/100</f>
        <v>0.0016202575</v>
      </c>
      <c r="V17" s="1"/>
      <c r="W17" s="4" t="n">
        <f aca="false">R17/R$24</f>
        <v>0.011614106</v>
      </c>
      <c r="X17" s="4" t="n">
        <f aca="false">S17/S$24</f>
        <v>0.018151522</v>
      </c>
      <c r="Y17" s="4" t="n">
        <f aca="false">T17/T$24</f>
        <v>0.026586175</v>
      </c>
      <c r="Z17" s="4" t="n">
        <f aca="false">U17/U$24</f>
        <v>0.0027145411</v>
      </c>
    </row>
    <row r="18" customFormat="false" ht="16" hidden="false" customHeight="true" outlineLevel="0" collapsed="false">
      <c r="A18" s="1" t="n">
        <v>67.5</v>
      </c>
      <c r="B18" s="1" t="n">
        <v>3897</v>
      </c>
      <c r="C18" s="1" t="n">
        <v>2935</v>
      </c>
      <c r="D18" s="1" t="n">
        <v>6044</v>
      </c>
      <c r="E18" s="1" t="n">
        <v>28</v>
      </c>
      <c r="F18" s="1" t="n">
        <f aca="false">B18+C18</f>
        <v>6832</v>
      </c>
      <c r="G18" s="4" t="n">
        <f aca="false">B18/B$24</f>
        <v>0.0045028858</v>
      </c>
      <c r="H18" s="4" t="n">
        <f aca="false">C18/C$24</f>
        <v>0.0078914184</v>
      </c>
      <c r="I18" s="4" t="n">
        <f aca="false">D18/D$24</f>
        <v>0.022395139</v>
      </c>
      <c r="J18" s="4" t="n">
        <f aca="false">E18/E$24</f>
        <v>0.00071125562</v>
      </c>
      <c r="K18" s="4" t="n">
        <f aca="false">F18/F$24</f>
        <v>0.005521397</v>
      </c>
      <c r="L18" s="4" t="n">
        <f aca="false">G18+L17</f>
        <v>0.98348826</v>
      </c>
      <c r="M18" s="4" t="n">
        <f aca="false">H18+M17</f>
        <v>0.96738572</v>
      </c>
      <c r="N18" s="4" t="n">
        <f aca="false">I18+N17</f>
        <v>0.89374907</v>
      </c>
      <c r="O18" s="4" t="n">
        <f aca="false">J18+O17</f>
        <v>1</v>
      </c>
      <c r="P18" s="1"/>
      <c r="Q18" s="1"/>
      <c r="R18" s="4" t="n">
        <f aca="false">EXP(2.32-0.0006*$A18*$A18)/100</f>
        <v>0.0054353088</v>
      </c>
      <c r="S18" s="4" t="n">
        <f aca="false">EXP(2.31-0.0005*$A18*$A18)/100</f>
        <v>0.010513762</v>
      </c>
      <c r="T18" s="4" t="n">
        <f aca="false">EXP(0.051+0.094*$A18-0.0015*$A18*$A18)/100</f>
        <v>0.0064508383</v>
      </c>
      <c r="U18" s="4" t="n">
        <f aca="false">EXP(3.18-0.08*$A18)/100</f>
        <v>0.0010860911</v>
      </c>
      <c r="V18" s="1"/>
      <c r="W18" s="4" t="n">
        <f aca="false">R18/R$24</f>
        <v>0.0076466712</v>
      </c>
      <c r="X18" s="4" t="n">
        <f aca="false">S18/S$24</f>
        <v>0.013149114</v>
      </c>
      <c r="Y18" s="4" t="n">
        <f aca="false">T18/T$24</f>
        <v>0.016044905</v>
      </c>
      <c r="Z18" s="4" t="n">
        <f aca="false">U18/U$24</f>
        <v>0.0018196113</v>
      </c>
    </row>
    <row r="19" customFormat="false" ht="16" hidden="false" customHeight="true" outlineLevel="0" collapsed="false">
      <c r="A19" s="1" t="n">
        <v>72.5</v>
      </c>
      <c r="B19" s="1" t="n">
        <v>7512</v>
      </c>
      <c r="C19" s="1" t="n">
        <v>6167</v>
      </c>
      <c r="D19" s="1" t="n">
        <v>12775</v>
      </c>
      <c r="E19" s="1" t="n">
        <v>0</v>
      </c>
      <c r="F19" s="1" t="n">
        <f aca="false">B19+C19</f>
        <v>13679</v>
      </c>
      <c r="G19" s="4" t="n">
        <f aca="false">B19/B$24</f>
        <v>0.0086799277</v>
      </c>
      <c r="H19" s="4" t="n">
        <f aca="false">C19/C$24</f>
        <v>0.016581389</v>
      </c>
      <c r="I19" s="4" t="n">
        <f aca="false">D19/D$24</f>
        <v>0.047335853</v>
      </c>
      <c r="J19" s="4" t="n">
        <f aca="false">E19/E$24</f>
        <v>0</v>
      </c>
      <c r="K19" s="4" t="n">
        <f aca="false">F19/F$24</f>
        <v>0.011054917</v>
      </c>
      <c r="L19" s="4" t="n">
        <f aca="false">G19+L18</f>
        <v>0.99216819</v>
      </c>
      <c r="M19" s="4" t="n">
        <f aca="false">H19+M18</f>
        <v>0.98396711</v>
      </c>
      <c r="N19" s="4" t="n">
        <f aca="false">I19+N18</f>
        <v>0.94108493</v>
      </c>
      <c r="O19" s="4" t="n">
        <f aca="false">J19+O18</f>
        <v>1</v>
      </c>
      <c r="P19" s="1"/>
      <c r="Q19" s="1"/>
      <c r="R19" s="4" t="n">
        <f aca="false">EXP(2.32-0.0006*$A19*$A19)/100</f>
        <v>0.0034653594</v>
      </c>
      <c r="S19" s="4" t="n">
        <f aca="false">EXP(2.31-0.0005*$A19*$A19)/100</f>
        <v>0.0074296971</v>
      </c>
      <c r="T19" s="4" t="n">
        <f aca="false">EXP(0.051+0.094*$A19-0.0015*$A19*$A19)/100</f>
        <v>0.0036118138</v>
      </c>
      <c r="U19" s="4" t="n">
        <f aca="false">EXP(3.18-0.08*$A19)/100</f>
        <v>0.00072802863</v>
      </c>
      <c r="V19" s="1"/>
      <c r="W19" s="4" t="n">
        <f aca="false">R19/R$24</f>
        <v>0.0048752452</v>
      </c>
      <c r="X19" s="4" t="n">
        <f aca="false">S19/S$24</f>
        <v>0.0092920053</v>
      </c>
      <c r="Y19" s="4" t="n">
        <f aca="false">T19/T$24</f>
        <v>0.0089835159</v>
      </c>
      <c r="Z19" s="4" t="n">
        <f aca="false">U19/U$24</f>
        <v>0.001219722</v>
      </c>
    </row>
    <row r="20" customFormat="false" ht="16" hidden="false" customHeight="true" outlineLevel="0" collapsed="false">
      <c r="A20" s="1" t="n">
        <v>77.5</v>
      </c>
      <c r="B20" s="1" t="n">
        <v>1428</v>
      </c>
      <c r="C20" s="1" t="n">
        <v>1550</v>
      </c>
      <c r="D20" s="1" t="n">
        <v>2972</v>
      </c>
      <c r="E20" s="1" t="n">
        <v>0</v>
      </c>
      <c r="F20" s="1" t="n">
        <f aca="false">B20+C20</f>
        <v>2978</v>
      </c>
      <c r="G20" s="4" t="n">
        <f aca="false">B20/B$24</f>
        <v>0.0016500182</v>
      </c>
      <c r="H20" s="4" t="n">
        <f aca="false">C20/C$24</f>
        <v>0.0041675293</v>
      </c>
      <c r="I20" s="4" t="n">
        <f aca="false">D20/D$24</f>
        <v>0.011012302</v>
      </c>
      <c r="J20" s="4" t="n">
        <f aca="false">E20/E$24</f>
        <v>0</v>
      </c>
      <c r="K20" s="4" t="n">
        <f aca="false">F20/F$24</f>
        <v>0.0024067214</v>
      </c>
      <c r="L20" s="4" t="n">
        <f aca="false">G20+L19</f>
        <v>0.99381821</v>
      </c>
      <c r="M20" s="4" t="n">
        <f aca="false">H20+M19</f>
        <v>0.98813464</v>
      </c>
      <c r="N20" s="4" t="n">
        <f aca="false">I20+N19</f>
        <v>0.95209723</v>
      </c>
      <c r="O20" s="4" t="n">
        <f aca="false">J20+O19</f>
        <v>1</v>
      </c>
      <c r="P20" s="1"/>
      <c r="Q20" s="1"/>
      <c r="R20" s="4" t="n">
        <f aca="false">EXP(2.32-0.0006*$A20*$A20)/100</f>
        <v>0.0021394876</v>
      </c>
      <c r="S20" s="4" t="n">
        <f aca="false">EXP(2.31-0.0005*$A20*$A20)/100</f>
        <v>0.0051216932</v>
      </c>
      <c r="T20" s="4" t="n">
        <f aca="false">EXP(0.051+0.094*$A20-0.0015*$A20*$A20)/100</f>
        <v>0.001876128</v>
      </c>
      <c r="U20" s="4" t="n">
        <f aca="false">EXP(3.18-0.08*$A20)/100</f>
        <v>0.00048801218</v>
      </c>
      <c r="V20" s="1"/>
      <c r="W20" s="4" t="n">
        <f aca="false">R20/R$24</f>
        <v>0.0030099408</v>
      </c>
      <c r="X20" s="4" t="n">
        <f aca="false">S20/S$24</f>
        <v>0.0064054833</v>
      </c>
      <c r="Y20" s="4" t="n">
        <f aca="false">T20/T$24</f>
        <v>0.004666416</v>
      </c>
      <c r="Z20" s="4" t="n">
        <f aca="false">U20/U$24</f>
        <v>0.00081760407</v>
      </c>
    </row>
    <row r="21" customFormat="false" ht="16" hidden="false" customHeight="true" outlineLevel="0" collapsed="false">
      <c r="A21" s="1" t="n">
        <v>82.5</v>
      </c>
      <c r="B21" s="1" t="n">
        <v>1032</v>
      </c>
      <c r="C21" s="1" t="n">
        <v>757</v>
      </c>
      <c r="D21" s="1" t="n">
        <v>1680</v>
      </c>
      <c r="E21" s="1" t="n">
        <v>0</v>
      </c>
      <c r="F21" s="1" t="n">
        <f aca="false">B21+C21</f>
        <v>1789</v>
      </c>
      <c r="G21" s="4" t="n">
        <f aca="false">B21/B$24</f>
        <v>0.0011924501</v>
      </c>
      <c r="H21" s="4" t="n">
        <f aca="false">C21/C$24</f>
        <v>0.0020353675</v>
      </c>
      <c r="I21" s="4" t="n">
        <f aca="false">D21/D$24</f>
        <v>0.0062249889</v>
      </c>
      <c r="J21" s="4" t="n">
        <f aca="false">E21/E$24</f>
        <v>0</v>
      </c>
      <c r="K21" s="4" t="n">
        <f aca="false">F21/F$24</f>
        <v>0.0014458108</v>
      </c>
      <c r="L21" s="4" t="n">
        <f aca="false">G21+L20</f>
        <v>0.99501066</v>
      </c>
      <c r="M21" s="4" t="n">
        <f aca="false">H21+M20</f>
        <v>0.99017001</v>
      </c>
      <c r="N21" s="4" t="n">
        <f aca="false">I21+N20</f>
        <v>0.95832222</v>
      </c>
      <c r="O21" s="4" t="n">
        <f aca="false">J21+O20</f>
        <v>1</v>
      </c>
      <c r="P21" s="1"/>
      <c r="Q21" s="1"/>
      <c r="R21" s="4" t="n">
        <f aca="false">EXP(2.32-0.0006*$A21*$A21)/100</f>
        <v>0.0012791123</v>
      </c>
      <c r="S21" s="4" t="n">
        <f aca="false">EXP(2.31-0.0005*$A21*$A21)/100</f>
        <v>0.0034441774</v>
      </c>
      <c r="T21" s="4" t="n">
        <f aca="false">EXP(0.051+0.094*$A21-0.0015*$A21*$A21)/100</f>
        <v>0.00090412296</v>
      </c>
      <c r="U21" s="4" t="n">
        <f aca="false">EXP(3.18-0.08*$A21)/100</f>
        <v>0.00032712435</v>
      </c>
      <c r="V21" s="1"/>
      <c r="W21" s="4" t="n">
        <f aca="false">R21/R$24</f>
        <v>0.0017995208</v>
      </c>
      <c r="X21" s="4" t="n">
        <f aca="false">S21/S$24</f>
        <v>0.0043074858</v>
      </c>
      <c r="Y21" s="4" t="n">
        <f aca="false">T21/T$24</f>
        <v>0.0022487878</v>
      </c>
      <c r="Z21" s="4" t="n">
        <f aca="false">U21/U$24</f>
        <v>0.0005480564</v>
      </c>
    </row>
    <row r="22" customFormat="false" ht="16" hidden="false" customHeight="true" outlineLevel="0" collapsed="false">
      <c r="A22" s="1" t="n">
        <v>87.5</v>
      </c>
      <c r="B22" s="1" t="n">
        <v>4054</v>
      </c>
      <c r="C22" s="1" t="n">
        <v>3181</v>
      </c>
      <c r="D22" s="1" t="n">
        <v>10438</v>
      </c>
      <c r="E22" s="1" t="n">
        <v>0</v>
      </c>
      <c r="F22" s="1" t="n">
        <f aca="false">B22+C22</f>
        <v>7235</v>
      </c>
      <c r="G22" s="4" t="n">
        <f aca="false">B22/B$24</f>
        <v>0.0046842954</v>
      </c>
      <c r="H22" s="4" t="n">
        <f aca="false">C22/C$24</f>
        <v>0.0085528456</v>
      </c>
      <c r="I22" s="4" t="n">
        <f aca="false">D22/D$24</f>
        <v>0.038676449</v>
      </c>
      <c r="J22" s="4" t="n">
        <f aca="false">E22/E$24</f>
        <v>0</v>
      </c>
      <c r="K22" s="4" t="n">
        <f aca="false">F22/F$24</f>
        <v>0.0058470883</v>
      </c>
      <c r="L22" s="4" t="n">
        <f aca="false">G22+L21</f>
        <v>0.99969495</v>
      </c>
      <c r="M22" s="4" t="n">
        <f aca="false">H22+M21</f>
        <v>0.99872285</v>
      </c>
      <c r="N22" s="4" t="n">
        <f aca="false">I22+N21</f>
        <v>0.99699867</v>
      </c>
      <c r="O22" s="4" t="n">
        <f aca="false">J22+O21</f>
        <v>1</v>
      </c>
      <c r="P22" s="1"/>
      <c r="Q22" s="1"/>
      <c r="R22" s="4" t="n">
        <f aca="false">EXP(2.32-0.0006*$A22*$A22)/100</f>
        <v>0.00074053406</v>
      </c>
      <c r="S22" s="4" t="n">
        <f aca="false">EXP(2.31-0.0005*$A22*$A22)/100</f>
        <v>0.0022593679</v>
      </c>
      <c r="T22" s="4" t="n">
        <f aca="false">EXP(0.051+0.094*$A22-0.0015*$A22*$A22)/100</f>
        <v>0.00040422246</v>
      </c>
      <c r="U22" s="4" t="n">
        <f aca="false">EXP(3.18-0.08*$A22)/100</f>
        <v>0.00021927801</v>
      </c>
      <c r="V22" s="1"/>
      <c r="W22" s="4" t="n">
        <f aca="false">R22/R$24</f>
        <v>0.0010418213</v>
      </c>
      <c r="X22" s="4" t="n">
        <f aca="false">S22/S$24</f>
        <v>0.0028256951</v>
      </c>
      <c r="Y22" s="4" t="n">
        <f aca="false">T22/T$24</f>
        <v>0.0010054059</v>
      </c>
      <c r="Z22" s="4" t="n">
        <f aca="false">U22/U$24</f>
        <v>0.00036737319</v>
      </c>
    </row>
    <row r="23" customFormat="false" ht="16" hidden="false" customHeight="true" outlineLevel="0" collapsed="false">
      <c r="A23" s="1" t="n">
        <v>92.5</v>
      </c>
      <c r="B23" s="1" t="n">
        <v>264</v>
      </c>
      <c r="C23" s="1" t="n">
        <v>475</v>
      </c>
      <c r="D23" s="1" t="n">
        <v>810</v>
      </c>
      <c r="E23" s="1" t="n">
        <v>0</v>
      </c>
      <c r="F23" s="1" t="n">
        <f aca="false">B23+C23</f>
        <v>739</v>
      </c>
      <c r="G23" s="4" t="n">
        <f aca="false">B23/B$24</f>
        <v>0.00030504538</v>
      </c>
      <c r="H23" s="4" t="n">
        <f aca="false">C23/C$24</f>
        <v>0.0012771461</v>
      </c>
      <c r="I23" s="4" t="n">
        <f aca="false">D23/D$24</f>
        <v>0.0030013339</v>
      </c>
      <c r="J23" s="4" t="n">
        <f aca="false">E23/E$24</f>
        <v>0</v>
      </c>
      <c r="K23" s="4" t="n">
        <f aca="false">F23/F$24</f>
        <v>0.00059723542</v>
      </c>
      <c r="L23" s="4" t="n">
        <f aca="false">G23+L22</f>
        <v>1</v>
      </c>
      <c r="M23" s="4" t="n">
        <f aca="false">H23+M22</f>
        <v>1</v>
      </c>
      <c r="N23" s="4" t="n">
        <f aca="false">I23+N22</f>
        <v>1</v>
      </c>
      <c r="O23" s="4" t="n">
        <f aca="false">J23+O22</f>
        <v>1</v>
      </c>
      <c r="P23" s="1"/>
      <c r="Q23" s="1"/>
      <c r="R23" s="4" t="n">
        <f aca="false">EXP(2.32-0.0006*$A23*$A23)/100</f>
        <v>0.00041516317</v>
      </c>
      <c r="S23" s="4" t="n">
        <f aca="false">EXP(2.31-0.0005*$A23*$A23)/100</f>
        <v>0.0014458322</v>
      </c>
      <c r="T23" s="4" t="n">
        <f aca="false">EXP(0.051+0.094*$A23-0.0015*$A23*$A23)/100</f>
        <v>0.00016766457</v>
      </c>
      <c r="U23" s="4" t="n">
        <f aca="false">EXP(3.18-0.08*$A23)/100</f>
        <v>0.00014698645</v>
      </c>
      <c r="V23" s="1"/>
      <c r="W23" s="4" t="n">
        <f aca="false">R23/R$24</f>
        <v>0.00058407283</v>
      </c>
      <c r="X23" s="4" t="n">
        <f aca="false">S23/S$24</f>
        <v>0.0018082407</v>
      </c>
      <c r="Y23" s="4" t="n">
        <f aca="false">T23/T$24</f>
        <v>0.00041702518</v>
      </c>
      <c r="Z23" s="4" t="n">
        <f aca="false">U23/U$24</f>
        <v>0.00024625761</v>
      </c>
    </row>
    <row r="24" customFormat="false" ht="16" hidden="false" customHeight="true" outlineLevel="0" collapsed="false">
      <c r="B24" s="1" t="n">
        <f aca="false">SUM(B5:B23)</f>
        <v>865445</v>
      </c>
      <c r="C24" s="1" t="n">
        <f aca="false">SUM(C5:C23)</f>
        <v>371923</v>
      </c>
      <c r="D24" s="1" t="n">
        <f aca="false">SUM(D5:D23)</f>
        <v>269880</v>
      </c>
      <c r="E24" s="1" t="n">
        <f aca="false">SUM(E5:E23)</f>
        <v>39367</v>
      </c>
      <c r="F24" s="1" t="n">
        <f aca="false">SUM(F5:F23)</f>
        <v>1237368</v>
      </c>
      <c r="G24" s="1" t="n">
        <f aca="false">SUM(G5:G23)</f>
        <v>1</v>
      </c>
      <c r="H24" s="1" t="n">
        <f aca="false">SUM(H5:H23)</f>
        <v>1</v>
      </c>
      <c r="I24" s="1" t="n">
        <f aca="false">SUM(I5:I23)</f>
        <v>1</v>
      </c>
      <c r="J24" s="1" t="n">
        <f aca="false">SUM(J5:J23)</f>
        <v>1</v>
      </c>
      <c r="K24" s="1" t="n">
        <f aca="false">SUM(K5:K23)</f>
        <v>1</v>
      </c>
      <c r="R24" s="1" t="n">
        <f aca="false">SUM(R5:R23)</f>
        <v>0.71080719</v>
      </c>
      <c r="S24" s="1" t="n">
        <f aca="false">SUM(S5:S23)</f>
        <v>0.79957952</v>
      </c>
      <c r="T24" s="1" t="n">
        <f aca="false">SUM(T5:T23)</f>
        <v>0.40204903</v>
      </c>
      <c r="U24" s="1" t="n">
        <f aca="false">SUM(U5:U23)</f>
        <v>0.59688081</v>
      </c>
    </row>
    <row r="25" customFormat="false" ht="16" hidden="false" customHeight="true" outlineLevel="0" collapsed="false"/>
    <row r="26" customFormat="false" ht="16" hidden="false" customHeight="true" outlineLevel="0" collapsed="false"/>
    <row r="27" customFormat="false" ht="16" hidden="false" customHeight="true" outlineLevel="0" collapsed="false"/>
    <row r="28" customFormat="false" ht="16" hidden="false" customHeight="true" outlineLevel="0" collapsed="false"/>
    <row r="29" customFormat="false" ht="16" hidden="false" customHeight="true" outlineLevel="0" collapsed="false"/>
    <row r="30" customFormat="false" ht="16" hidden="false" customHeight="true" outlineLevel="0" collapsed="false"/>
    <row r="31" customFormat="false" ht="16" hidden="false" customHeight="true" outlineLevel="0" collapsed="false"/>
    <row r="32" customFormat="false" ht="16" hidden="false" customHeight="true" outlineLevel="0" collapsed="false"/>
    <row r="33" customFormat="false" ht="16" hidden="false" customHeight="true" outlineLevel="0" collapsed="false"/>
    <row r="34" customFormat="false" ht="16" hidden="false" customHeight="true" outlineLevel="0" collapsed="false"/>
    <row r="35" customFormat="false" ht="16" hidden="false" customHeight="true" outlineLevel="0" collapsed="false"/>
    <row r="36" customFormat="false" ht="16" hidden="false" customHeight="true" outlineLevel="0" collapsed="false"/>
    <row r="37" customFormat="false" ht="16" hidden="false" customHeight="true" outlineLevel="0" collapsed="false"/>
    <row r="38" customFormat="false" ht="16" hidden="false" customHeight="true" outlineLevel="0" collapsed="false"/>
    <row r="39" customFormat="false" ht="16" hidden="false" customHeight="true" outlineLevel="0" collapsed="false"/>
    <row r="40" customFormat="false" ht="16" hidden="false" customHeight="true" outlineLevel="0" collapsed="false"/>
    <row r="41" customFormat="false" ht="16" hidden="false" customHeight="true" outlineLevel="0" collapsed="false"/>
    <row r="42" customFormat="false" ht="16" hidden="false" customHeight="true" outlineLevel="0" collapsed="false"/>
    <row r="43" customFormat="false" ht="16" hidden="false" customHeight="true" outlineLevel="0" collapsed="false"/>
    <row r="44" customFormat="false" ht="16" hidden="false" customHeight="true" outlineLevel="0" collapsed="false"/>
    <row r="45" customFormat="false" ht="16" hidden="false" customHeight="true" outlineLevel="0" collapsed="false"/>
    <row r="46" customFormat="false" ht="16" hidden="false" customHeight="true" outlineLevel="0" collapsed="false"/>
    <row r="47" customFormat="false" ht="16" hidden="false" customHeight="true" outlineLevel="0" collapsed="false"/>
    <row r="48" customFormat="false" ht="16" hidden="false" customHeight="true" outlineLevel="0" collapsed="false"/>
    <row r="49" customFormat="false" ht="16" hidden="false" customHeight="true" outlineLevel="0" collapsed="false"/>
    <row r="50" customFormat="false" ht="16" hidden="false" customHeight="true" outlineLevel="0" collapsed="false"/>
    <row r="51" customFormat="false" ht="16" hidden="false" customHeight="true" outlineLevel="0" collapsed="false">
      <c r="A51" s="1" t="s">
        <v>113</v>
      </c>
    </row>
    <row r="52" customFormat="false" ht="16" hidden="false" customHeight="true" outlineLevel="0" collapsed="false">
      <c r="B52" s="1" t="s">
        <v>114</v>
      </c>
      <c r="G52" s="1" t="s">
        <v>115</v>
      </c>
      <c r="L52" s="1" t="s">
        <v>15</v>
      </c>
    </row>
    <row r="53" customFormat="false" ht="16" hidden="false" customHeight="true" outlineLevel="0" collapsed="false">
      <c r="B53" s="1" t="s">
        <v>19</v>
      </c>
      <c r="C53" s="1" t="s">
        <v>57</v>
      </c>
      <c r="D53" s="1" t="s">
        <v>58</v>
      </c>
      <c r="G53" s="1" t="s">
        <v>19</v>
      </c>
      <c r="H53" s="1" t="s">
        <v>57</v>
      </c>
      <c r="I53" s="1" t="s">
        <v>58</v>
      </c>
      <c r="L53" s="1" t="s">
        <v>19</v>
      </c>
      <c r="M53" s="1" t="s">
        <v>57</v>
      </c>
      <c r="N53" s="1" t="s">
        <v>58</v>
      </c>
      <c r="R53" s="1" t="s">
        <v>110</v>
      </c>
    </row>
    <row r="54" customFormat="false" ht="16" hidden="false" customHeight="true" outlineLevel="0" collapsed="false">
      <c r="A54" s="1" t="n">
        <v>2.5</v>
      </c>
      <c r="B54" s="1" t="n">
        <v>255484</v>
      </c>
      <c r="C54" s="1" t="n">
        <v>435268</v>
      </c>
      <c r="D54" s="1" t="n">
        <v>878</v>
      </c>
      <c r="E54" s="1"/>
      <c r="F54" s="1"/>
      <c r="G54" s="4" t="n">
        <f aca="false">B54/B$73</f>
        <v>0.25278101</v>
      </c>
      <c r="H54" s="4" t="n">
        <f aca="false">C54/C$73</f>
        <v>0.23204987</v>
      </c>
      <c r="I54" s="4" t="n">
        <f aca="false">D54/D$73</f>
        <v>0.0074196765</v>
      </c>
      <c r="J54" s="1"/>
      <c r="K54" s="1"/>
      <c r="L54" s="4" t="n">
        <f aca="false">G54</f>
        <v>0.25278101</v>
      </c>
      <c r="M54" s="4" t="n">
        <f aca="false">H54</f>
        <v>0.23204987</v>
      </c>
      <c r="N54" s="4" t="n">
        <f aca="false">I54</f>
        <v>0.0074196765</v>
      </c>
      <c r="O54" s="1"/>
      <c r="P54" s="1"/>
      <c r="Q54" s="1"/>
      <c r="R54" s="4" t="n">
        <f aca="false">EXP(3.29-0.076*$A54)/100</f>
        <v>0.22197951</v>
      </c>
      <c r="S54" s="4" t="n">
        <f aca="false">EXP(3.23-0.074*$A54)/100</f>
        <v>0.21010031</v>
      </c>
      <c r="T54" s="4" t="n">
        <f aca="false">EXP(1.8-0.0003*$A54*$A54)/100</f>
        <v>0.060382773</v>
      </c>
      <c r="U54" s="1"/>
      <c r="V54" s="1"/>
      <c r="W54" s="4" t="n">
        <f aca="false">R54/R$73</f>
        <v>0.31637011</v>
      </c>
      <c r="X54" s="4" t="n">
        <f aca="false">S54/S$73</f>
        <v>0.30953959</v>
      </c>
      <c r="Y54" s="4" t="n">
        <f aca="false">T54/T$73</f>
        <v>0.099660801</v>
      </c>
    </row>
    <row r="55" customFormat="false" ht="16" hidden="false" customHeight="true" outlineLevel="0" collapsed="false">
      <c r="A55" s="1" t="n">
        <v>7.5</v>
      </c>
      <c r="B55" s="1" t="n">
        <v>233873</v>
      </c>
      <c r="C55" s="1" t="n">
        <v>432250</v>
      </c>
      <c r="D55" s="1" t="n">
        <v>4643</v>
      </c>
      <c r="E55" s="1"/>
      <c r="F55" s="1"/>
      <c r="G55" s="4" t="n">
        <f aca="false">B55/B$73</f>
        <v>0.23139865</v>
      </c>
      <c r="H55" s="4" t="n">
        <f aca="false">C55/C$73</f>
        <v>0.23044091</v>
      </c>
      <c r="I55" s="4" t="n">
        <f aca="false">D55/D$73</f>
        <v>0.039236399</v>
      </c>
      <c r="J55" s="1"/>
      <c r="K55" s="1"/>
      <c r="L55" s="4" t="n">
        <f aca="false">G55+L54</f>
        <v>0.48417967</v>
      </c>
      <c r="M55" s="4" t="n">
        <f aca="false">H55+M54</f>
        <v>0.46249078</v>
      </c>
      <c r="N55" s="4" t="n">
        <f aca="false">I55+N54</f>
        <v>0.046656075</v>
      </c>
      <c r="O55" s="1"/>
      <c r="P55" s="1"/>
      <c r="Q55" s="1"/>
      <c r="R55" s="4" t="n">
        <f aca="false">EXP(3.29-0.076*$A55)/100</f>
        <v>0.15180322</v>
      </c>
      <c r="S55" s="4" t="n">
        <f aca="false">EXP(3.23-0.074*$A55)/100</f>
        <v>0.1451235</v>
      </c>
      <c r="T55" s="4" t="n">
        <f aca="false">EXP(1.8-0.0003*$A55*$A55)/100</f>
        <v>0.059480816</v>
      </c>
      <c r="U55" s="1"/>
      <c r="V55" s="1"/>
      <c r="W55" s="4" t="n">
        <f aca="false">R55/R$73</f>
        <v>0.21635331</v>
      </c>
      <c r="X55" s="4" t="n">
        <f aca="false">S55/S$73</f>
        <v>0.21380962</v>
      </c>
      <c r="Y55" s="4" t="n">
        <f aca="false">T55/T$73</f>
        <v>0.098172137</v>
      </c>
    </row>
    <row r="56" customFormat="false" ht="16" hidden="false" customHeight="true" outlineLevel="0" collapsed="false">
      <c r="A56" s="1" t="n">
        <v>12.5</v>
      </c>
      <c r="B56" s="1" t="n">
        <v>191255</v>
      </c>
      <c r="C56" s="1" t="n">
        <v>374785</v>
      </c>
      <c r="D56" s="1" t="n">
        <v>11776</v>
      </c>
      <c r="E56" s="1"/>
      <c r="F56" s="1"/>
      <c r="G56" s="4" t="n">
        <f aca="false">B56/B$73</f>
        <v>0.18923155</v>
      </c>
      <c r="H56" s="4" t="n">
        <f aca="false">C56/C$73</f>
        <v>0.1998052</v>
      </c>
      <c r="I56" s="4" t="n">
        <f aca="false">D56/D$73</f>
        <v>0.099514932</v>
      </c>
      <c r="J56" s="1"/>
      <c r="K56" s="1"/>
      <c r="L56" s="4" t="n">
        <f aca="false">G56+L55</f>
        <v>0.67341121</v>
      </c>
      <c r="M56" s="4" t="n">
        <f aca="false">H56+M55</f>
        <v>0.66229598</v>
      </c>
      <c r="N56" s="4" t="n">
        <f aca="false">I56+N55</f>
        <v>0.14617101</v>
      </c>
      <c r="O56" s="1"/>
      <c r="P56" s="1"/>
      <c r="Q56" s="1"/>
      <c r="R56" s="4" t="n">
        <f aca="false">EXP(3.29-0.076*$A56)/100</f>
        <v>0.10381237</v>
      </c>
      <c r="S56" s="4" t="n">
        <f aca="false">EXP(3.23-0.074*$A56)/100</f>
        <v>0.10024178</v>
      </c>
      <c r="T56" s="4" t="n">
        <f aca="false">EXP(1.8-0.0003*$A56*$A56)/100</f>
        <v>0.05771712</v>
      </c>
      <c r="U56" s="1"/>
      <c r="V56" s="1"/>
      <c r="W56" s="4" t="n">
        <f aca="false">R56/R$73</f>
        <v>0.14795568</v>
      </c>
      <c r="X56" s="4" t="n">
        <f aca="false">S56/S$73</f>
        <v>0.14768565</v>
      </c>
      <c r="Y56" s="4" t="n">
        <f aca="false">T56/T$73</f>
        <v>0.095261185</v>
      </c>
    </row>
    <row r="57" customFormat="false" ht="16" hidden="false" customHeight="true" outlineLevel="0" collapsed="false">
      <c r="A57" s="1" t="n">
        <v>17.5</v>
      </c>
      <c r="B57" s="1" t="n">
        <v>99316</v>
      </c>
      <c r="C57" s="1" t="n">
        <v>194525</v>
      </c>
      <c r="D57" s="1" t="n">
        <v>10752</v>
      </c>
      <c r="E57" s="1"/>
      <c r="F57" s="1"/>
      <c r="G57" s="4" t="n">
        <f aca="false">B57/B$73</f>
        <v>0.09826525</v>
      </c>
      <c r="H57" s="4" t="n">
        <f aca="false">C57/C$73</f>
        <v>0.10370507</v>
      </c>
      <c r="I57" s="4" t="n">
        <f aca="false">D57/D$73</f>
        <v>0.09086146</v>
      </c>
      <c r="J57" s="1"/>
      <c r="K57" s="1"/>
      <c r="L57" s="4" t="n">
        <f aca="false">G57+L56</f>
        <v>0.77167646</v>
      </c>
      <c r="M57" s="4" t="n">
        <f aca="false">H57+M56</f>
        <v>0.76600105</v>
      </c>
      <c r="N57" s="4" t="n">
        <f aca="false">I57+N56</f>
        <v>0.23703247</v>
      </c>
      <c r="O57" s="1"/>
      <c r="P57" s="1"/>
      <c r="Q57" s="1"/>
      <c r="R57" s="4" t="n">
        <f aca="false">EXP(3.29-0.076*$A57)/100</f>
        <v>0.070993271</v>
      </c>
      <c r="S57" s="4" t="n">
        <f aca="false">EXP(3.23-0.074*$A57)/100</f>
        <v>0.069240441</v>
      </c>
      <c r="T57" s="4" t="n">
        <f aca="false">EXP(1.8-0.0003*$A57*$A57)/100</f>
        <v>0.055169146</v>
      </c>
      <c r="U57" s="1"/>
      <c r="V57" s="1"/>
      <c r="W57" s="4" t="n">
        <f aca="false">R57/R$73</f>
        <v>0.10118118</v>
      </c>
      <c r="X57" s="4" t="n">
        <f aca="false">S57/S$73</f>
        <v>0.10201155</v>
      </c>
      <c r="Y57" s="4" t="n">
        <f aca="false">T57/T$73</f>
        <v>0.091055794</v>
      </c>
    </row>
    <row r="58" customFormat="false" ht="16" hidden="false" customHeight="true" outlineLevel="0" collapsed="false">
      <c r="A58" s="1" t="n">
        <v>22.5</v>
      </c>
      <c r="B58" s="1" t="n">
        <v>33422</v>
      </c>
      <c r="C58" s="1" t="n">
        <v>63467</v>
      </c>
      <c r="D58" s="1" t="n">
        <v>4642</v>
      </c>
      <c r="E58" s="1"/>
      <c r="F58" s="1"/>
      <c r="G58" s="4" t="n">
        <f aca="false">B58/B$73</f>
        <v>0.0330684</v>
      </c>
      <c r="H58" s="4" t="n">
        <f aca="false">C58/C$73</f>
        <v>0.033835496</v>
      </c>
      <c r="I58" s="4" t="n">
        <f aca="false">D58/D$73</f>
        <v>0.039227948</v>
      </c>
      <c r="J58" s="1"/>
      <c r="K58" s="1"/>
      <c r="L58" s="4" t="n">
        <f aca="false">G58+L57</f>
        <v>0.80474486</v>
      </c>
      <c r="M58" s="4" t="n">
        <f aca="false">H58+M57</f>
        <v>0.79983655</v>
      </c>
      <c r="N58" s="4" t="n">
        <f aca="false">I58+N57</f>
        <v>0.27626042</v>
      </c>
      <c r="O58" s="1"/>
      <c r="P58" s="1"/>
      <c r="Q58" s="1"/>
      <c r="R58" s="4" t="n">
        <f aca="false">EXP(3.29-0.076*$A58)/100</f>
        <v>0.048549558</v>
      </c>
      <c r="S58" s="4" t="n">
        <f aca="false">EXP(3.23-0.074*$A58)/100</f>
        <v>0.047826749</v>
      </c>
      <c r="T58" s="4" t="n">
        <f aca="false">EXP(1.8-0.0003*$A58*$A58)/100</f>
        <v>0.051945955</v>
      </c>
      <c r="U58" s="1"/>
      <c r="V58" s="1"/>
      <c r="W58" s="4" t="n">
        <f aca="false">R58/R$73</f>
        <v>0.069193904</v>
      </c>
      <c r="X58" s="4" t="n">
        <f aca="false">S58/S$73</f>
        <v>0.070462877</v>
      </c>
      <c r="Y58" s="4" t="n">
        <f aca="false">T58/T$73</f>
        <v>0.085735968</v>
      </c>
    </row>
    <row r="59" customFormat="false" ht="16" hidden="false" customHeight="true" outlineLevel="0" collapsed="false">
      <c r="A59" s="1" t="n">
        <v>27.5</v>
      </c>
      <c r="B59" s="1" t="n">
        <v>115020</v>
      </c>
      <c r="C59" s="1" t="n">
        <v>224443</v>
      </c>
      <c r="D59" s="1" t="n">
        <v>30923</v>
      </c>
      <c r="E59" s="1"/>
      <c r="F59" s="1"/>
      <c r="G59" s="4" t="n">
        <f aca="false">B59/B$73</f>
        <v>0.1138031</v>
      </c>
      <c r="H59" s="4" t="n">
        <f aca="false">C59/C$73</f>
        <v>0.11965494</v>
      </c>
      <c r="I59" s="4" t="n">
        <f aca="false">D59/D$73</f>
        <v>0.26131965</v>
      </c>
      <c r="J59" s="1"/>
      <c r="K59" s="1"/>
      <c r="L59" s="4" t="n">
        <f aca="false">G59+L58</f>
        <v>0.91854797</v>
      </c>
      <c r="M59" s="4" t="n">
        <f aca="false">H59+M58</f>
        <v>0.91949149</v>
      </c>
      <c r="N59" s="4" t="n">
        <f aca="false">I59+N58</f>
        <v>0.53758007</v>
      </c>
      <c r="O59" s="1"/>
      <c r="P59" s="1"/>
      <c r="Q59" s="1"/>
      <c r="R59" s="4" t="n">
        <f aca="false">EXP(3.29-0.076*$A59)/100</f>
        <v>0.033201169</v>
      </c>
      <c r="S59" s="4" t="n">
        <f aca="false">EXP(3.23-0.074*$A59)/100</f>
        <v>0.033035578</v>
      </c>
      <c r="T59" s="4" t="n">
        <f aca="false">EXP(1.8-0.0003*$A59*$A59)/100</f>
        <v>0.048180474</v>
      </c>
      <c r="U59" s="1"/>
      <c r="V59" s="1"/>
      <c r="W59" s="4" t="n">
        <f aca="false">R59/R$73</f>
        <v>0.047319041</v>
      </c>
      <c r="X59" s="4" t="n">
        <f aca="false">S59/S$73</f>
        <v>0.048671128</v>
      </c>
      <c r="Y59" s="4" t="n">
        <f aca="false">T59/T$73</f>
        <v>0.079521103</v>
      </c>
    </row>
    <row r="60" customFormat="false" ht="16" hidden="false" customHeight="true" outlineLevel="0" collapsed="false">
      <c r="A60" s="1" t="n">
        <v>32.5</v>
      </c>
      <c r="B60" s="1" t="n">
        <v>11967</v>
      </c>
      <c r="C60" s="1" t="n">
        <v>21960</v>
      </c>
      <c r="D60" s="1" t="n">
        <v>4890</v>
      </c>
      <c r="E60" s="1"/>
      <c r="F60" s="1"/>
      <c r="G60" s="4" t="n">
        <f aca="false">B60/B$73</f>
        <v>0.011840391</v>
      </c>
      <c r="H60" s="4" t="n">
        <f aca="false">C60/C$73</f>
        <v>0.011707305</v>
      </c>
      <c r="I60" s="4" t="n">
        <f aca="false">D60/D$73</f>
        <v>0.041323711</v>
      </c>
      <c r="J60" s="1"/>
      <c r="K60" s="1"/>
      <c r="L60" s="4" t="n">
        <f aca="false">G60+L59</f>
        <v>0.93038836</v>
      </c>
      <c r="M60" s="4" t="n">
        <f aca="false">H60+M59</f>
        <v>0.93119879</v>
      </c>
      <c r="N60" s="4" t="n">
        <f aca="false">I60+N59</f>
        <v>0.57890378</v>
      </c>
      <c r="O60" s="1"/>
      <c r="P60" s="1"/>
      <c r="Q60" s="1"/>
      <c r="R60" s="4" t="n">
        <f aca="false">EXP(3.29-0.076*$A60)/100</f>
        <v>0.022704998</v>
      </c>
      <c r="S60" s="4" t="n">
        <f aca="false">EXP(3.23-0.074*$A60)/100</f>
        <v>0.022818808</v>
      </c>
      <c r="T60" s="4" t="n">
        <f aca="false">EXP(1.8-0.0003*$A60*$A60)/100</f>
        <v>0.04402043</v>
      </c>
      <c r="U60" s="1"/>
      <c r="V60" s="1"/>
      <c r="W60" s="4" t="n">
        <f aca="false">R60/R$73</f>
        <v>0.032359666</v>
      </c>
      <c r="X60" s="4" t="n">
        <f aca="false">S60/S$73</f>
        <v>0.033618819</v>
      </c>
      <c r="Y60" s="4" t="n">
        <f aca="false">T60/T$73</f>
        <v>0.072655016</v>
      </c>
    </row>
    <row r="61" customFormat="false" ht="16" hidden="false" customHeight="true" outlineLevel="0" collapsed="false">
      <c r="A61" s="1" t="n">
        <v>37.5</v>
      </c>
      <c r="B61" s="1" t="n">
        <v>13976</v>
      </c>
      <c r="C61" s="1" t="n">
        <v>22363</v>
      </c>
      <c r="D61" s="1" t="n">
        <v>5374</v>
      </c>
      <c r="E61" s="1"/>
      <c r="F61" s="1"/>
      <c r="G61" s="4" t="n">
        <f aca="false">B61/B$73</f>
        <v>0.013828136</v>
      </c>
      <c r="H61" s="4" t="n">
        <f aca="false">C61/C$73</f>
        <v>0.011922152</v>
      </c>
      <c r="I61" s="4" t="n">
        <f aca="false">D61/D$73</f>
        <v>0.045413829</v>
      </c>
      <c r="J61" s="1"/>
      <c r="K61" s="1"/>
      <c r="L61" s="4" t="n">
        <f aca="false">G61+L60</f>
        <v>0.94421649</v>
      </c>
      <c r="M61" s="4" t="n">
        <f aca="false">H61+M60</f>
        <v>0.94312095</v>
      </c>
      <c r="N61" s="4" t="n">
        <f aca="false">I61+N60</f>
        <v>0.62431761</v>
      </c>
      <c r="O61" s="1"/>
      <c r="P61" s="1"/>
      <c r="Q61" s="1"/>
      <c r="R61" s="4" t="n">
        <f aca="false">EXP(3.29-0.076*$A61)/100</f>
        <v>0.015527072</v>
      </c>
      <c r="S61" s="4" t="n">
        <f aca="false">EXP(3.23-0.074*$A61)/100</f>
        <v>0.015761734</v>
      </c>
      <c r="T61" s="4" t="n">
        <f aca="false">EXP(1.8-0.0003*$A61*$A61)/100</f>
        <v>0.039618804</v>
      </c>
      <c r="U61" s="1"/>
      <c r="V61" s="1"/>
      <c r="W61" s="4" t="n">
        <f aca="false">R61/R$73</f>
        <v>0.022129527</v>
      </c>
      <c r="X61" s="4" t="n">
        <f aca="false">S61/S$73</f>
        <v>0.023221673</v>
      </c>
      <c r="Y61" s="4" t="n">
        <f aca="false">T61/T$73</f>
        <v>0.065390202</v>
      </c>
    </row>
    <row r="62" customFormat="false" ht="16" hidden="false" customHeight="true" outlineLevel="0" collapsed="false">
      <c r="A62" s="1" t="n">
        <v>42.5</v>
      </c>
      <c r="B62" s="1" t="n">
        <v>27945</v>
      </c>
      <c r="C62" s="1" t="n">
        <v>52755</v>
      </c>
      <c r="D62" s="1" t="n">
        <v>14247</v>
      </c>
      <c r="E62" s="1"/>
      <c r="F62" s="1"/>
      <c r="G62" s="4" t="n">
        <f aca="false">B62/B$73</f>
        <v>0.027649346</v>
      </c>
      <c r="H62" s="4" t="n">
        <f aca="false">C62/C$73</f>
        <v>0.02812472</v>
      </c>
      <c r="I62" s="4" t="n">
        <f aca="false">D62/D$73</f>
        <v>0.1203965</v>
      </c>
      <c r="J62" s="1"/>
      <c r="K62" s="1"/>
      <c r="L62" s="4" t="n">
        <f aca="false">G62+L61</f>
        <v>0.97186584</v>
      </c>
      <c r="M62" s="4" t="n">
        <f aca="false">H62+M61</f>
        <v>0.97124567</v>
      </c>
      <c r="N62" s="4" t="n">
        <f aca="false">I62+N61</f>
        <v>0.74471411</v>
      </c>
      <c r="O62" s="1"/>
      <c r="P62" s="1"/>
      <c r="Q62" s="1"/>
      <c r="R62" s="4" t="n">
        <f aca="false">EXP(3.29-0.076*$A62)/100</f>
        <v>0.010618365</v>
      </c>
      <c r="S62" s="4" t="n">
        <f aca="false">EXP(3.23-0.074*$A62)/100</f>
        <v>0.010887171</v>
      </c>
      <c r="T62" s="4" t="n">
        <f aca="false">EXP(1.8-0.0003*$A62*$A62)/100</f>
        <v>0.035124674</v>
      </c>
      <c r="U62" s="1"/>
      <c r="V62" s="1"/>
      <c r="W62" s="4" t="n">
        <f aca="false">R62/R$73</f>
        <v>0.015133529</v>
      </c>
      <c r="X62" s="4" t="n">
        <f aca="false">S62/S$73</f>
        <v>0.016040006</v>
      </c>
      <c r="Y62" s="4" t="n">
        <f aca="false">T62/T$73</f>
        <v>0.057972713</v>
      </c>
    </row>
    <row r="63" customFormat="false" ht="16" hidden="false" customHeight="true" outlineLevel="0" collapsed="false">
      <c r="A63" s="1" t="n">
        <v>47.5</v>
      </c>
      <c r="B63" s="1" t="n">
        <v>5356</v>
      </c>
      <c r="C63" s="1" t="n">
        <v>7458</v>
      </c>
      <c r="D63" s="1" t="n">
        <v>2776</v>
      </c>
      <c r="E63" s="1"/>
      <c r="F63" s="1"/>
      <c r="G63" s="4" t="n">
        <f aca="false">B63/B$73</f>
        <v>0.0052993342</v>
      </c>
      <c r="H63" s="4" t="n">
        <f aca="false">C63/C$73</f>
        <v>0.0039760054</v>
      </c>
      <c r="I63" s="4" t="n">
        <f aca="false">D63/D$73</f>
        <v>0.023459023</v>
      </c>
      <c r="J63" s="1"/>
      <c r="K63" s="1"/>
      <c r="L63" s="4" t="n">
        <f aca="false">G63+L62</f>
        <v>0.97716517</v>
      </c>
      <c r="M63" s="4" t="n">
        <f aca="false">H63+M62</f>
        <v>0.97522167</v>
      </c>
      <c r="N63" s="4" t="n">
        <f aca="false">I63+N62</f>
        <v>0.76817314</v>
      </c>
      <c r="O63" s="1"/>
      <c r="P63" s="1"/>
      <c r="Q63" s="1"/>
      <c r="R63" s="4" t="n">
        <f aca="false">EXP(3.29-0.076*$A63)/100</f>
        <v>0.0072614904</v>
      </c>
      <c r="S63" s="4" t="n">
        <f aca="false">EXP(3.23-0.074*$A63)/100</f>
        <v>0.0075201425</v>
      </c>
      <c r="T63" s="4" t="n">
        <f aca="false">EXP(1.8-0.0003*$A63*$A63)/100</f>
        <v>0.03067518</v>
      </c>
      <c r="U63" s="1"/>
      <c r="V63" s="1"/>
      <c r="W63" s="4" t="n">
        <f aca="false">R63/R$73</f>
        <v>0.010349237</v>
      </c>
      <c r="X63" s="4" t="n">
        <f aca="false">S63/S$73</f>
        <v>0.011079383</v>
      </c>
      <c r="Y63" s="4" t="n">
        <f aca="false">T63/T$73</f>
        <v>0.050628894</v>
      </c>
    </row>
    <row r="64" customFormat="false" ht="16" hidden="false" customHeight="true" outlineLevel="0" collapsed="false">
      <c r="A64" s="1" t="n">
        <v>52.5</v>
      </c>
      <c r="B64" s="1" t="n">
        <v>2304</v>
      </c>
      <c r="C64" s="1" t="n">
        <v>3951</v>
      </c>
      <c r="D64" s="1" t="n">
        <v>1303</v>
      </c>
      <c r="E64" s="1"/>
      <c r="F64" s="1"/>
      <c r="G64" s="4" t="n">
        <f aca="false">B64/B$73</f>
        <v>0.002279624</v>
      </c>
      <c r="H64" s="4" t="n">
        <f aca="false">C64/C$73</f>
        <v>0.0021063552</v>
      </c>
      <c r="I64" s="4" t="n">
        <f aca="false">D64/D$73</f>
        <v>0.011011206</v>
      </c>
      <c r="J64" s="1"/>
      <c r="K64" s="1"/>
      <c r="L64" s="4" t="n">
        <f aca="false">G64+L63</f>
        <v>0.9794448</v>
      </c>
      <c r="M64" s="4" t="n">
        <f aca="false">H64+M63</f>
        <v>0.97732803</v>
      </c>
      <c r="N64" s="4" t="n">
        <f aca="false">I64+N63</f>
        <v>0.77918434</v>
      </c>
      <c r="O64" s="1"/>
      <c r="P64" s="1"/>
      <c r="Q64" s="1"/>
      <c r="R64" s="4" t="n">
        <f aca="false">EXP(3.29-0.076*$A64)/100</f>
        <v>0.004965853</v>
      </c>
      <c r="S64" s="4" t="n">
        <f aca="false">EXP(3.23-0.074*$A64)/100</f>
        <v>0.0051944206</v>
      </c>
      <c r="T64" s="4" t="n">
        <f aca="false">EXP(1.8-0.0003*$A64*$A64)/100</f>
        <v>0.026389174</v>
      </c>
      <c r="U64" s="1"/>
      <c r="V64" s="1"/>
      <c r="W64" s="4" t="n">
        <f aca="false">R64/R$73</f>
        <v>0.0070774436</v>
      </c>
      <c r="X64" s="4" t="n">
        <f aca="false">S64/S$73</f>
        <v>0.0076529103</v>
      </c>
      <c r="Y64" s="4" t="n">
        <f aca="false">T64/T$73</f>
        <v>0.04355491</v>
      </c>
    </row>
    <row r="65" customFormat="false" ht="16" hidden="false" customHeight="true" outlineLevel="0" collapsed="false">
      <c r="A65" s="1" t="n">
        <v>57.5</v>
      </c>
      <c r="B65" s="1" t="n">
        <v>13118</v>
      </c>
      <c r="C65" s="1" t="n">
        <v>26729</v>
      </c>
      <c r="D65" s="1" t="n">
        <v>15714</v>
      </c>
      <c r="E65" s="1"/>
      <c r="F65" s="1"/>
      <c r="G65" s="4" t="n">
        <f aca="false">B65/B$73</f>
        <v>0.012979213</v>
      </c>
      <c r="H65" s="4" t="n">
        <f aca="false">C65/C$73</f>
        <v>0.014249752</v>
      </c>
      <c r="I65" s="4" t="n">
        <f aca="false">D65/D$73</f>
        <v>0.13279362</v>
      </c>
      <c r="J65" s="1"/>
      <c r="K65" s="1"/>
      <c r="L65" s="4" t="n">
        <f aca="false">G65+L64</f>
        <v>0.99242401</v>
      </c>
      <c r="M65" s="4" t="n">
        <f aca="false">H65+M64</f>
        <v>0.99157778</v>
      </c>
      <c r="N65" s="4" t="n">
        <f aca="false">I65+N64</f>
        <v>0.91197796</v>
      </c>
      <c r="O65" s="1"/>
      <c r="P65" s="1"/>
      <c r="Q65" s="1"/>
      <c r="R65" s="4" t="n">
        <f aca="false">EXP(3.29-0.076*$A65)/100</f>
        <v>0.0033959553</v>
      </c>
      <c r="S65" s="4" t="n">
        <f aca="false">EXP(3.23-0.074*$A65)/100</f>
        <v>0.0035879647</v>
      </c>
      <c r="T65" s="4" t="n">
        <f aca="false">EXP(1.8-0.0003*$A65*$A65)/100</f>
        <v>0.022362911</v>
      </c>
      <c r="U65" s="1"/>
      <c r="V65" s="1"/>
      <c r="W65" s="4" t="n">
        <f aca="false">R65/R$73</f>
        <v>0.0048399905</v>
      </c>
      <c r="X65" s="4" t="n">
        <f aca="false">S65/S$73</f>
        <v>0.0052861279</v>
      </c>
      <c r="Y65" s="4" t="n">
        <f aca="false">T65/T$73</f>
        <v>0.036909628</v>
      </c>
    </row>
    <row r="66" customFormat="false" ht="16" hidden="false" customHeight="true" outlineLevel="0" collapsed="false">
      <c r="A66" s="1" t="n">
        <v>62.5</v>
      </c>
      <c r="B66" s="1" t="n">
        <v>1319</v>
      </c>
      <c r="C66" s="1" t="n">
        <v>1601</v>
      </c>
      <c r="D66" s="1" t="n">
        <v>995</v>
      </c>
      <c r="E66" s="1"/>
      <c r="F66" s="1"/>
      <c r="G66" s="4" t="n">
        <f aca="false">B66/B$73</f>
        <v>0.0013050452</v>
      </c>
      <c r="H66" s="4" t="n">
        <f aca="false">C66/C$73</f>
        <v>0.00085352435</v>
      </c>
      <c r="I66" s="4" t="n">
        <f aca="false">D66/D$73</f>
        <v>0.0084084033</v>
      </c>
      <c r="J66" s="1"/>
      <c r="K66" s="1"/>
      <c r="L66" s="4" t="n">
        <f aca="false">G66+L65</f>
        <v>0.99372906</v>
      </c>
      <c r="M66" s="4" t="n">
        <f aca="false">H66+M65</f>
        <v>0.9924313</v>
      </c>
      <c r="N66" s="4" t="n">
        <f aca="false">I66+N65</f>
        <v>0.92038636</v>
      </c>
      <c r="O66" s="1"/>
      <c r="P66" s="1"/>
      <c r="Q66" s="1"/>
      <c r="R66" s="4" t="n">
        <f aca="false">EXP(3.29-0.076*$A66)/100</f>
        <v>0.0023223627</v>
      </c>
      <c r="S66" s="4" t="n">
        <f aca="false">EXP(3.23-0.074*$A66)/100</f>
        <v>0.0024783304</v>
      </c>
      <c r="T66" s="4" t="n">
        <f aca="false">EXP(1.8-0.0003*$A66*$A66)/100</f>
        <v>0.01866787</v>
      </c>
      <c r="U66" s="1"/>
      <c r="V66" s="1"/>
      <c r="W66" s="4" t="n">
        <f aca="false">R66/R$73</f>
        <v>0.0033098828</v>
      </c>
      <c r="X66" s="4" t="n">
        <f aca="false">S66/S$73</f>
        <v>0.00365131</v>
      </c>
      <c r="Y66" s="4" t="n">
        <f aca="false">T66/T$73</f>
        <v>0.030811021</v>
      </c>
    </row>
    <row r="67" customFormat="false" ht="16" hidden="false" customHeight="true" outlineLevel="0" collapsed="false">
      <c r="A67" s="1" t="n">
        <v>67.5</v>
      </c>
      <c r="B67" s="1" t="n">
        <v>941</v>
      </c>
      <c r="C67" s="1" t="n">
        <v>2409</v>
      </c>
      <c r="D67" s="1" t="n">
        <v>1069</v>
      </c>
      <c r="E67" s="1"/>
      <c r="F67" s="1"/>
      <c r="G67" s="4" t="n">
        <f aca="false">B67/B$73</f>
        <v>0.00093104434</v>
      </c>
      <c r="H67" s="4" t="n">
        <f aca="false">C67/C$73</f>
        <v>0.0012842849</v>
      </c>
      <c r="I67" s="4" t="n">
        <f aca="false">D67/D$73</f>
        <v>0.0090337519</v>
      </c>
      <c r="J67" s="1"/>
      <c r="K67" s="1"/>
      <c r="L67" s="4" t="n">
        <f aca="false">G67+L66</f>
        <v>0.9946601</v>
      </c>
      <c r="M67" s="4" t="n">
        <f aca="false">H67+M66</f>
        <v>0.99371559</v>
      </c>
      <c r="N67" s="4" t="n">
        <f aca="false">I67+N66</f>
        <v>0.92942012</v>
      </c>
      <c r="O67" s="1"/>
      <c r="P67" s="1"/>
      <c r="Q67" s="1"/>
      <c r="R67" s="4" t="n">
        <f aca="false">EXP(3.29-0.076*$A67)/100</f>
        <v>0.0015881743</v>
      </c>
      <c r="S67" s="4" t="n">
        <f aca="false">EXP(3.23-0.074*$A67)/100</f>
        <v>0.0017118679</v>
      </c>
      <c r="T67" s="4" t="n">
        <f aca="false">EXP(1.8-0.0003*$A67*$A67)/100</f>
        <v>0.015350589</v>
      </c>
      <c r="U67" s="1"/>
      <c r="V67" s="1"/>
      <c r="W67" s="4" t="n">
        <f aca="false">R67/R$73</f>
        <v>0.0022635011</v>
      </c>
      <c r="X67" s="4" t="n">
        <f aca="false">S67/S$73</f>
        <v>0.0025220852</v>
      </c>
      <c r="Y67" s="4" t="n">
        <f aca="false">T67/T$73</f>
        <v>0.025335902</v>
      </c>
    </row>
    <row r="68" customFormat="false" ht="16" hidden="false" customHeight="true" outlineLevel="0" collapsed="false">
      <c r="A68" s="1" t="n">
        <v>72.5</v>
      </c>
      <c r="B68" s="1" t="n">
        <v>2347</v>
      </c>
      <c r="C68" s="1" t="n">
        <v>5000</v>
      </c>
      <c r="D68" s="1" t="n">
        <v>3444</v>
      </c>
      <c r="E68" s="1"/>
      <c r="F68" s="1"/>
      <c r="G68" s="4" t="n">
        <f aca="false">B68/B$73</f>
        <v>0.002322169</v>
      </c>
      <c r="H68" s="4" t="n">
        <f aca="false">C68/C$73</f>
        <v>0.0026655976</v>
      </c>
      <c r="I68" s="4" t="n">
        <f aca="false">D68/D$73</f>
        <v>0.029104061</v>
      </c>
      <c r="J68" s="1"/>
      <c r="K68" s="1"/>
      <c r="L68" s="4" t="n">
        <f aca="false">G68+L67</f>
        <v>0.99698227</v>
      </c>
      <c r="M68" s="4" t="n">
        <f aca="false">H68+M67</f>
        <v>0.99638118</v>
      </c>
      <c r="N68" s="4" t="n">
        <f aca="false">I68+N67</f>
        <v>0.95852418</v>
      </c>
      <c r="O68" s="1"/>
      <c r="P68" s="1"/>
      <c r="Q68" s="1"/>
      <c r="R68" s="4" t="n">
        <f aca="false">EXP(3.29-0.076*$A68)/100</f>
        <v>0.0010860911</v>
      </c>
      <c r="S68" s="4" t="n">
        <f aca="false">EXP(3.23-0.074*$A68)/100</f>
        <v>0.0011824459</v>
      </c>
      <c r="T68" s="4" t="n">
        <f aca="false">EXP(1.8-0.0003*$A68*$A68)/100</f>
        <v>0.012434239</v>
      </c>
      <c r="U68" s="1"/>
      <c r="V68" s="1"/>
      <c r="W68" s="4" t="n">
        <f aca="false">R68/R$73</f>
        <v>0.001547921</v>
      </c>
      <c r="X68" s="4" t="n">
        <f aca="false">S68/S$73</f>
        <v>0.0017420908</v>
      </c>
      <c r="Y68" s="4" t="n">
        <f aca="false">T68/T$73</f>
        <v>0.020522512</v>
      </c>
    </row>
    <row r="69" customFormat="false" ht="16" hidden="false" customHeight="true" outlineLevel="0" collapsed="false">
      <c r="A69" s="1" t="n">
        <v>77.5</v>
      </c>
      <c r="B69" s="1" t="n">
        <v>917</v>
      </c>
      <c r="C69" s="1" t="n">
        <v>1499</v>
      </c>
      <c r="D69" s="1" t="n">
        <v>1170</v>
      </c>
      <c r="E69" s="1"/>
      <c r="F69" s="1"/>
      <c r="G69" s="4" t="n">
        <f aca="false">B69/B$73</f>
        <v>0.00090729826</v>
      </c>
      <c r="H69" s="4" t="n">
        <f aca="false">C69/C$73</f>
        <v>0.00079914616</v>
      </c>
      <c r="I69" s="4" t="n">
        <f aca="false">D69/D$73</f>
        <v>0.0098872682</v>
      </c>
      <c r="J69" s="1"/>
      <c r="K69" s="1"/>
      <c r="L69" s="4" t="n">
        <f aca="false">G69+L68</f>
        <v>0.99788957</v>
      </c>
      <c r="M69" s="4" t="n">
        <f aca="false">H69+M68</f>
        <v>0.99718033</v>
      </c>
      <c r="N69" s="4" t="n">
        <f aca="false">I69+N68</f>
        <v>0.96841145</v>
      </c>
      <c r="O69" s="1"/>
      <c r="P69" s="1"/>
      <c r="Q69" s="1"/>
      <c r="R69" s="4" t="n">
        <f aca="false">EXP(3.29-0.076*$A69)/100</f>
        <v>0.00074273578</v>
      </c>
      <c r="S69" s="4" t="n">
        <f aca="false">EXP(3.23-0.074*$A69)/100</f>
        <v>0.00081675598</v>
      </c>
      <c r="T69" s="4" t="n">
        <f aca="false">EXP(1.8-0.0003*$A69*$A69)/100</f>
        <v>0.0099214973</v>
      </c>
      <c r="U69" s="1"/>
      <c r="V69" s="1"/>
      <c r="W69" s="4" t="n">
        <f aca="false">R69/R$73</f>
        <v>0.0010585635</v>
      </c>
      <c r="X69" s="4" t="n">
        <f aca="false">S69/S$73</f>
        <v>0.0012033219</v>
      </c>
      <c r="Y69" s="4" t="n">
        <f aca="false">T69/T$73</f>
        <v>0.016375273</v>
      </c>
    </row>
    <row r="70" customFormat="false" ht="16" hidden="false" customHeight="true" outlineLevel="0" collapsed="false">
      <c r="A70" s="1" t="n">
        <v>82.5</v>
      </c>
      <c r="B70" s="1" t="n">
        <v>324</v>
      </c>
      <c r="C70" s="1" t="n">
        <v>795</v>
      </c>
      <c r="D70" s="1" t="n">
        <v>245</v>
      </c>
      <c r="E70" s="1"/>
      <c r="F70" s="1"/>
      <c r="G70" s="4" t="n">
        <f aca="false">B70/B$73</f>
        <v>0.00032057212</v>
      </c>
      <c r="H70" s="4" t="n">
        <f aca="false">C70/C$73</f>
        <v>0.00042383002</v>
      </c>
      <c r="I70" s="4" t="n">
        <f aca="false">D70/D$73</f>
        <v>0.0020704109</v>
      </c>
      <c r="J70" s="1"/>
      <c r="K70" s="1"/>
      <c r="L70" s="4" t="n">
        <f aca="false">G70+L69</f>
        <v>0.99821014</v>
      </c>
      <c r="M70" s="4" t="n">
        <f aca="false">H70+M69</f>
        <v>0.99760416</v>
      </c>
      <c r="N70" s="4" t="n">
        <f aca="false">I70+N69</f>
        <v>0.97048186</v>
      </c>
      <c r="O70" s="1"/>
      <c r="P70" s="1"/>
      <c r="Q70" s="1"/>
      <c r="R70" s="4" t="n">
        <f aca="false">EXP(3.29-0.076*$A70)/100</f>
        <v>0.00050792834</v>
      </c>
      <c r="S70" s="4" t="n">
        <f aca="false">EXP(3.23-0.074*$A70)/100</f>
        <v>0.0005641614</v>
      </c>
      <c r="T70" s="4" t="n">
        <f aca="false">EXP(1.8-0.0003*$A70*$A70)/100</f>
        <v>0.007798285</v>
      </c>
      <c r="U70" s="1"/>
      <c r="V70" s="1"/>
      <c r="W70" s="4" t="n">
        <f aca="false">R70/R$73</f>
        <v>0.0007239107</v>
      </c>
      <c r="X70" s="4" t="n">
        <f aca="false">S70/S$73</f>
        <v>0.00083117576</v>
      </c>
      <c r="Y70" s="4" t="n">
        <f aca="false">T70/T$73</f>
        <v>0.012870945</v>
      </c>
    </row>
    <row r="71" customFormat="false" ht="16" hidden="false" customHeight="true" outlineLevel="0" collapsed="false">
      <c r="A71" s="1" t="n">
        <v>87.5</v>
      </c>
      <c r="B71" s="1" t="n">
        <v>1552</v>
      </c>
      <c r="C71" s="1" t="n">
        <v>3999</v>
      </c>
      <c r="D71" s="1" t="n">
        <v>3005</v>
      </c>
      <c r="E71" s="1"/>
      <c r="F71" s="1"/>
      <c r="G71" s="4" t="n">
        <f aca="false">B71/B$73</f>
        <v>0.00153558</v>
      </c>
      <c r="H71" s="4" t="n">
        <f aca="false">C71/C$73</f>
        <v>0.0021319449</v>
      </c>
      <c r="I71" s="4" t="n">
        <f aca="false">D71/D$73</f>
        <v>0.025394223</v>
      </c>
      <c r="J71" s="1"/>
      <c r="K71" s="1"/>
      <c r="L71" s="4" t="n">
        <f aca="false">G71+L70</f>
        <v>0.99974572</v>
      </c>
      <c r="M71" s="4" t="n">
        <f aca="false">H71+M70</f>
        <v>0.99973611</v>
      </c>
      <c r="N71" s="4" t="n">
        <f aca="false">I71+N70</f>
        <v>0.99587608</v>
      </c>
      <c r="O71" s="1"/>
      <c r="P71" s="1"/>
      <c r="Q71" s="1"/>
      <c r="R71" s="4" t="n">
        <f aca="false">EXP(3.29-0.076*$A71)/100</f>
        <v>0.00034735259</v>
      </c>
      <c r="S71" s="4" t="n">
        <f aca="false">EXP(3.23-0.074*$A71)/100</f>
        <v>0.00038968564</v>
      </c>
      <c r="T71" s="4" t="n">
        <f aca="false">EXP(1.8-0.0003*$A71*$A71)/100</f>
        <v>0.0060378853</v>
      </c>
      <c r="U71" s="1"/>
      <c r="V71" s="1"/>
      <c r="W71" s="4" t="n">
        <f aca="false">R71/R$73</f>
        <v>0.00049505459</v>
      </c>
      <c r="X71" s="4" t="n">
        <f aca="false">S71/S$73</f>
        <v>0.00057412163</v>
      </c>
      <c r="Y71" s="4" t="n">
        <f aca="false">T71/T$73</f>
        <v>0.0099654333</v>
      </c>
    </row>
    <row r="72" customFormat="false" ht="16" hidden="false" customHeight="true" outlineLevel="0" collapsed="false">
      <c r="A72" s="1" t="n">
        <v>92.5</v>
      </c>
      <c r="B72" s="1" t="n">
        <v>257</v>
      </c>
      <c r="C72" s="1" t="n">
        <v>495</v>
      </c>
      <c r="D72" s="1" t="n">
        <v>488</v>
      </c>
      <c r="E72" s="1"/>
      <c r="F72" s="1"/>
      <c r="G72" s="4" t="n">
        <f aca="false">B72/B$73</f>
        <v>0.00025428097</v>
      </c>
      <c r="H72" s="4" t="n">
        <f aca="false">C72/C$73</f>
        <v>0.00026389416</v>
      </c>
      <c r="I72" s="4" t="n">
        <f aca="false">D72/D$73</f>
        <v>0.0041239204</v>
      </c>
      <c r="J72" s="1"/>
      <c r="K72" s="1"/>
      <c r="L72" s="4" t="n">
        <f aca="false">G72+L71</f>
        <v>1</v>
      </c>
      <c r="M72" s="4" t="n">
        <f aca="false">H72+M71</f>
        <v>1</v>
      </c>
      <c r="N72" s="4" t="n">
        <f aca="false">I72+N71</f>
        <v>1</v>
      </c>
      <c r="O72" s="1"/>
      <c r="P72" s="1"/>
      <c r="Q72" s="1"/>
      <c r="R72" s="4" t="n">
        <f aca="false">EXP(3.29-0.076*$A72)/100</f>
        <v>0.00023754103</v>
      </c>
      <c r="S72" s="4" t="n">
        <f aca="false">EXP(3.23-0.074*$A72)/100</f>
        <v>0.00026916925</v>
      </c>
      <c r="T72" s="4" t="n">
        <f aca="false">EXP(1.8-0.0003*$A72*$A72)/100</f>
        <v>0.0046050515</v>
      </c>
      <c r="U72" s="1"/>
      <c r="V72" s="1"/>
      <c r="W72" s="4" t="n">
        <f aca="false">R72/R$73</f>
        <v>0.00033854873</v>
      </c>
      <c r="X72" s="4" t="n">
        <f aca="false">S72/S$73</f>
        <v>0.00039656552</v>
      </c>
      <c r="Y72" s="4" t="n">
        <f aca="false">T72/T$73</f>
        <v>0.0076005638</v>
      </c>
    </row>
    <row r="73" customFormat="false" ht="16" hidden="false" customHeight="true" outlineLevel="0" collapsed="false">
      <c r="B73" s="1" t="n">
        <f aca="false">SUM(B54:B72)</f>
        <v>1010693</v>
      </c>
      <c r="C73" s="1" t="n">
        <f aca="false">SUM(C54:C72)</f>
        <v>1875752</v>
      </c>
      <c r="D73" s="1" t="n">
        <f aca="false">SUM(D54:D72)</f>
        <v>118334</v>
      </c>
      <c r="R73" s="1" t="n">
        <f aca="false">SUM(R54:R72)</f>
        <v>0.70164502</v>
      </c>
      <c r="S73" s="1" t="n">
        <f aca="false">SUM(S54:S72)</f>
        <v>0.67875102</v>
      </c>
      <c r="T73" s="1" t="n">
        <f aca="false">SUM(T54:T72)</f>
        <v>0.60588287</v>
      </c>
    </row>
    <row r="74" customFormat="false" ht="16" hidden="false" customHeight="true" outlineLevel="0" collapsed="false"/>
    <row r="75" customFormat="false" ht="16" hidden="false" customHeight="true" outlineLevel="0" collapsed="false"/>
    <row r="76" customFormat="false" ht="16" hidden="false" customHeight="true" outlineLevel="0" collapsed="false"/>
    <row r="77" customFormat="false" ht="16" hidden="false" customHeight="true" outlineLevel="0" collapsed="false"/>
    <row r="78" customFormat="false" ht="16" hidden="false" customHeight="true" outlineLevel="0" collapsed="false"/>
    <row r="79" customFormat="false" ht="16" hidden="false" customHeight="true" outlineLevel="0" collapsed="false"/>
    <row r="80" customFormat="false" ht="16" hidden="false" customHeight="true" outlineLevel="0" collapsed="false"/>
    <row r="81" customFormat="false" ht="16" hidden="false" customHeight="true" outlineLevel="0" collapsed="false"/>
    <row r="82" customFormat="false" ht="16" hidden="false" customHeight="true" outlineLevel="0" collapsed="false"/>
    <row r="83" customFormat="false" ht="16" hidden="false" customHeight="true" outlineLevel="0" collapsed="false"/>
    <row r="84" customFormat="false" ht="16" hidden="false" customHeight="true" outlineLevel="0" collapsed="false"/>
    <row r="85" customFormat="false" ht="16" hidden="false" customHeight="true" outlineLevel="0" collapsed="false"/>
    <row r="86" customFormat="false" ht="16" hidden="false" customHeight="true" outlineLevel="0" collapsed="false"/>
    <row r="87" customFormat="false" ht="16" hidden="false" customHeight="true" outlineLevel="0" collapsed="false"/>
    <row r="88" customFormat="false" ht="16" hidden="false" customHeight="true" outlineLevel="0" collapsed="false"/>
    <row r="89" customFormat="false" ht="16" hidden="false" customHeight="true" outlineLevel="0" collapsed="false"/>
    <row r="90" customFormat="false" ht="16" hidden="false" customHeight="true" outlineLevel="0" collapsed="false"/>
    <row r="91" customFormat="false" ht="16" hidden="false" customHeight="true" outlineLevel="0" collapsed="false"/>
    <row r="92" customFormat="false" ht="16" hidden="false" customHeight="true" outlineLevel="0" collapsed="false"/>
    <row r="93" customFormat="false" ht="16" hidden="false" customHeight="true" outlineLevel="0" collapsed="false"/>
    <row r="94" customFormat="false" ht="16" hidden="false" customHeight="true" outlineLevel="0" collapsed="false"/>
    <row r="95" customFormat="false" ht="16" hidden="false" customHeight="true" outlineLevel="0" collapsed="false"/>
    <row r="96" customFormat="false" ht="16" hidden="false" customHeight="true" outlineLevel="0" collapsed="false"/>
    <row r="97" customFormat="false" ht="16" hidden="false" customHeight="true" outlineLevel="0" collapsed="false"/>
    <row r="98" customFormat="false" ht="16" hidden="false" customHeight="true" outlineLevel="0" collapsed="false"/>
    <row r="99" customFormat="false" ht="16" hidden="false" customHeight="true" outlineLevel="0" collapsed="false"/>
    <row r="100" customFormat="false" ht="16" hidden="false" customHeight="true" outlineLevel="0" collapsed="false">
      <c r="A100" s="1" t="s">
        <v>116</v>
      </c>
      <c r="G100" s="1" t="s">
        <v>109</v>
      </c>
      <c r="L100" s="1" t="s">
        <v>15</v>
      </c>
    </row>
    <row r="101" customFormat="false" ht="16" hidden="false" customHeight="true" outlineLevel="0" collapsed="false">
      <c r="B101" s="1" t="s">
        <v>19</v>
      </c>
      <c r="C101" s="1" t="s">
        <v>57</v>
      </c>
      <c r="D101" s="1" t="s">
        <v>58</v>
      </c>
      <c r="E101" s="1" t="s">
        <v>25</v>
      </c>
      <c r="G101" s="1" t="s">
        <v>19</v>
      </c>
      <c r="H101" s="1" t="s">
        <v>57</v>
      </c>
      <c r="I101" s="1" t="s">
        <v>58</v>
      </c>
      <c r="J101" s="1" t="s">
        <v>25</v>
      </c>
      <c r="L101" s="1" t="s">
        <v>19</v>
      </c>
      <c r="M101" s="1" t="s">
        <v>57</v>
      </c>
      <c r="N101" s="1" t="s">
        <v>58</v>
      </c>
      <c r="O101" s="1" t="s">
        <v>25</v>
      </c>
      <c r="R101" s="1" t="s">
        <v>19</v>
      </c>
      <c r="S101" s="1" t="s">
        <v>57</v>
      </c>
      <c r="T101" s="1" t="s">
        <v>58</v>
      </c>
      <c r="U101" s="1" t="s">
        <v>25</v>
      </c>
      <c r="W101" s="1" t="s">
        <v>19</v>
      </c>
      <c r="X101" s="1" t="s">
        <v>57</v>
      </c>
      <c r="Y101" s="1" t="s">
        <v>58</v>
      </c>
      <c r="Z101" s="1" t="s">
        <v>25</v>
      </c>
    </row>
    <row r="102" customFormat="false" ht="16" hidden="false" customHeight="true" outlineLevel="0" collapsed="false">
      <c r="A102" s="1" t="n">
        <v>2.5</v>
      </c>
      <c r="B102" s="1" t="n">
        <v>4343</v>
      </c>
      <c r="C102" s="1" t="n">
        <v>2105</v>
      </c>
      <c r="D102" s="1" t="n">
        <v>381</v>
      </c>
      <c r="E102" s="1" t="n">
        <v>10</v>
      </c>
      <c r="F102" s="1"/>
      <c r="G102" s="4" t="n">
        <f aca="false">B102/B$120</f>
        <v>0.091113162</v>
      </c>
      <c r="H102" s="4" t="n">
        <f aca="false">C102/C$120</f>
        <v>0.095751456</v>
      </c>
      <c r="I102" s="4" t="n">
        <f aca="false">D102/D$120</f>
        <v>0.043167913</v>
      </c>
      <c r="J102" s="4" t="n">
        <f aca="false">E102/E$120</f>
        <v>0.024691358</v>
      </c>
      <c r="K102" s="1"/>
      <c r="L102" s="4" t="n">
        <f aca="false">G102</f>
        <v>0.091113162</v>
      </c>
      <c r="M102" s="4" t="n">
        <f aca="false">H102</f>
        <v>0.095751456</v>
      </c>
      <c r="N102" s="4" t="n">
        <f aca="false">I102</f>
        <v>0.043167913</v>
      </c>
      <c r="O102" s="4" t="n">
        <f aca="false">J102</f>
        <v>0.024691358</v>
      </c>
      <c r="P102" s="1"/>
      <c r="Q102" s="1"/>
      <c r="R102" s="4" t="n">
        <f aca="false">EXP(2.44-0.0007*$A102*$A102)/100</f>
        <v>0.11422599</v>
      </c>
      <c r="S102" s="4" t="n">
        <f aca="false">EXP(2.3-0.0005*$A102*$A102)/100</f>
        <v>0.09943994</v>
      </c>
      <c r="T102" s="4" t="n">
        <f aca="false">EXP(2.14-0.0003*$A102*$A102)/100</f>
        <v>0.084817136</v>
      </c>
      <c r="U102" s="4" t="n">
        <v>0</v>
      </c>
      <c r="V102" s="1"/>
      <c r="W102" s="4" t="n">
        <f aca="false">R102/R$120</f>
        <v>0.14925052</v>
      </c>
      <c r="X102" s="4" t="n">
        <f aca="false">S102/S$120</f>
        <v>0.12449855</v>
      </c>
      <c r="Y102" s="4" t="n">
        <f aca="false">T102/T$120</f>
        <v>0.10498638</v>
      </c>
      <c r="Z102" s="4" t="n">
        <f aca="false">U102/U$120</f>
        <v>0</v>
      </c>
    </row>
    <row r="103" customFormat="false" ht="16" hidden="false" customHeight="true" outlineLevel="0" collapsed="false">
      <c r="A103" s="1" t="n">
        <v>7.5</v>
      </c>
      <c r="B103" s="1" t="n">
        <v>5178</v>
      </c>
      <c r="C103" s="1" t="n">
        <v>2790</v>
      </c>
      <c r="D103" s="1" t="n">
        <v>1182</v>
      </c>
      <c r="E103" s="1" t="n">
        <v>155</v>
      </c>
      <c r="F103" s="1"/>
      <c r="G103" s="4" t="n">
        <f aca="false">B103/B$120</f>
        <v>0.10863089</v>
      </c>
      <c r="H103" s="4" t="n">
        <f aca="false">C103/C$120</f>
        <v>0.12691048</v>
      </c>
      <c r="I103" s="4" t="n">
        <f aca="false">D103/D$120</f>
        <v>0.1339225</v>
      </c>
      <c r="J103" s="4" t="n">
        <f aca="false">E103/E$120</f>
        <v>0.38271605</v>
      </c>
      <c r="K103" s="1"/>
      <c r="L103" s="4" t="n">
        <f aca="false">G103+L102</f>
        <v>0.19974405</v>
      </c>
      <c r="M103" s="4" t="n">
        <f aca="false">H103+M102</f>
        <v>0.22266194</v>
      </c>
      <c r="N103" s="4" t="n">
        <f aca="false">I103+N102</f>
        <v>0.17709041</v>
      </c>
      <c r="O103" s="4" t="n">
        <f aca="false">J103+O102</f>
        <v>0.40740741</v>
      </c>
      <c r="P103" s="1"/>
      <c r="Q103" s="1"/>
      <c r="R103" s="4" t="n">
        <f aca="false">EXP(2.44-0.0007*$A103*$A103)/100</f>
        <v>0.11026966</v>
      </c>
      <c r="S103" s="4" t="n">
        <f aca="false">EXP(2.3-0.0005*$A103*$A103)/100</f>
        <v>0.097057525</v>
      </c>
      <c r="T103" s="4" t="n">
        <f aca="false">EXP(2.14-0.0003*$A103*$A103)/100</f>
        <v>0.083412451</v>
      </c>
      <c r="U103" s="4" t="n">
        <f aca="false">EXP(5.15-0.92*(LN($A103+0)))/100</f>
        <v>0.27012213</v>
      </c>
      <c r="V103" s="1"/>
      <c r="W103" s="4" t="n">
        <f aca="false">R103/R$120</f>
        <v>0.14408109</v>
      </c>
      <c r="X103" s="4" t="n">
        <f aca="false">S103/S$120</f>
        <v>0.12151578</v>
      </c>
      <c r="Y103" s="4" t="n">
        <f aca="false">T103/T$120</f>
        <v>0.10324767</v>
      </c>
      <c r="Z103" s="4" t="n">
        <f aca="false">U103/U$120</f>
        <v>0.21398682</v>
      </c>
    </row>
    <row r="104" customFormat="false" ht="16" hidden="false" customHeight="true" outlineLevel="0" collapsed="false">
      <c r="A104" s="1" t="n">
        <v>12.5</v>
      </c>
      <c r="B104" s="1" t="n">
        <v>9036</v>
      </c>
      <c r="C104" s="1" t="n">
        <v>2903</v>
      </c>
      <c r="D104" s="1" t="n">
        <v>754</v>
      </c>
      <c r="E104" s="1" t="n">
        <v>130</v>
      </c>
      <c r="F104" s="1"/>
      <c r="G104" s="4" t="n">
        <f aca="false">B104/B$120</f>
        <v>0.18956908</v>
      </c>
      <c r="H104" s="4" t="n">
        <f aca="false">C104/C$120</f>
        <v>0.13205058</v>
      </c>
      <c r="I104" s="4" t="n">
        <f aca="false">D104/D$120</f>
        <v>0.085429413</v>
      </c>
      <c r="J104" s="4" t="n">
        <f aca="false">E104/E$120</f>
        <v>0.32098765</v>
      </c>
      <c r="K104" s="1"/>
      <c r="L104" s="4" t="n">
        <f aca="false">G104+L103</f>
        <v>0.38931314</v>
      </c>
      <c r="M104" s="4" t="n">
        <f aca="false">H104+M103</f>
        <v>0.35471252</v>
      </c>
      <c r="N104" s="4" t="n">
        <f aca="false">I104+N103</f>
        <v>0.26251983</v>
      </c>
      <c r="O104" s="4" t="n">
        <f aca="false">J104+O103</f>
        <v>0.72839506</v>
      </c>
      <c r="P104" s="1"/>
      <c r="Q104" s="1"/>
      <c r="R104" s="4" t="n">
        <f aca="false">EXP(2.44-0.0007*$A104*$A104)/100</f>
        <v>0.10276336</v>
      </c>
      <c r="S104" s="4" t="n">
        <f aca="false">EXP(2.3-0.0005*$A104*$A104)/100</f>
        <v>0.092462563</v>
      </c>
      <c r="T104" s="4" t="n">
        <f aca="false">EXP(2.14-0.0003*$A104*$A104)/100</f>
        <v>0.080672487</v>
      </c>
      <c r="U104" s="4" t="n">
        <f aca="false">EXP(5.15-0.92*(LN($A104+0)))/100</f>
        <v>0.16883378</v>
      </c>
      <c r="V104" s="1"/>
      <c r="W104" s="4" t="n">
        <f aca="false">R104/R$120</f>
        <v>0.13427316</v>
      </c>
      <c r="X104" s="4" t="n">
        <f aca="false">S104/S$120</f>
        <v>0.1157629</v>
      </c>
      <c r="Y104" s="4" t="n">
        <f aca="false">T104/T$120</f>
        <v>0.099856152</v>
      </c>
      <c r="Z104" s="4" t="n">
        <f aca="false">U104/U$120</f>
        <v>0.13374766</v>
      </c>
    </row>
    <row r="105" customFormat="false" ht="16" hidden="false" customHeight="true" outlineLevel="0" collapsed="false">
      <c r="A105" s="1" t="n">
        <v>17.5</v>
      </c>
      <c r="B105" s="1" t="n">
        <v>5144</v>
      </c>
      <c r="C105" s="1" t="n">
        <v>2498</v>
      </c>
      <c r="D105" s="1" t="n">
        <v>754</v>
      </c>
      <c r="E105" s="1" t="n">
        <v>34</v>
      </c>
      <c r="F105" s="1"/>
      <c r="G105" s="4" t="n">
        <f aca="false">B105/B$120</f>
        <v>0.10791759</v>
      </c>
      <c r="H105" s="4" t="n">
        <f aca="false">C105/C$120</f>
        <v>0.11362809</v>
      </c>
      <c r="I105" s="4" t="n">
        <f aca="false">D105/D$120</f>
        <v>0.085429413</v>
      </c>
      <c r="J105" s="4" t="n">
        <f aca="false">E105/E$120</f>
        <v>0.083950617</v>
      </c>
      <c r="K105" s="1"/>
      <c r="L105" s="4" t="n">
        <f aca="false">G105+L104</f>
        <v>0.49723073</v>
      </c>
      <c r="M105" s="4" t="n">
        <f aca="false">H105+M104</f>
        <v>0.46834061</v>
      </c>
      <c r="N105" s="4" t="n">
        <f aca="false">I105+N104</f>
        <v>0.34794924</v>
      </c>
      <c r="O105" s="4" t="n">
        <f aca="false">J105+O104</f>
        <v>0.81234568</v>
      </c>
      <c r="P105" s="1"/>
      <c r="Q105" s="1"/>
      <c r="R105" s="4" t="n">
        <f aca="false">EXP(2.44-0.0007*$A105*$A105)/100</f>
        <v>0.092451006</v>
      </c>
      <c r="S105" s="4" t="n">
        <f aca="false">EXP(2.3-0.0005*$A105*$A105)/100</f>
        <v>0.085974767</v>
      </c>
      <c r="T105" s="4" t="n">
        <f aca="false">EXP(2.14-0.0003*$A105*$A105)/100</f>
        <v>0.07673037</v>
      </c>
      <c r="U105" s="4" t="n">
        <f aca="false">EXP(5.15-0.92*(LN($A105+0)))/100</f>
        <v>0.12388581</v>
      </c>
      <c r="V105" s="1"/>
      <c r="W105" s="4" t="n">
        <f aca="false">R105/R$120</f>
        <v>0.12079879</v>
      </c>
      <c r="X105" s="4" t="n">
        <f aca="false">S105/S$120</f>
        <v>0.10764019</v>
      </c>
      <c r="Y105" s="4" t="n">
        <f aca="false">T105/T$120</f>
        <v>0.094976612</v>
      </c>
      <c r="Z105" s="4" t="n">
        <f aca="false">U105/U$120</f>
        <v>0.098140532</v>
      </c>
    </row>
    <row r="106" customFormat="false" ht="16" hidden="false" customHeight="true" outlineLevel="0" collapsed="false">
      <c r="A106" s="1" t="n">
        <v>22.5</v>
      </c>
      <c r="B106" s="1" t="n">
        <v>2844</v>
      </c>
      <c r="C106" s="1" t="n">
        <v>1650</v>
      </c>
      <c r="D106" s="1" t="n">
        <v>1973</v>
      </c>
      <c r="E106" s="1" t="n">
        <v>41</v>
      </c>
      <c r="F106" s="1"/>
      <c r="G106" s="4" t="n">
        <f aca="false">B106/B$120</f>
        <v>0.05966517</v>
      </c>
      <c r="H106" s="4" t="n">
        <f aca="false">C106/C$120</f>
        <v>0.075054585</v>
      </c>
      <c r="I106" s="4" t="n">
        <f aca="false">D106/D$120</f>
        <v>0.22354407</v>
      </c>
      <c r="J106" s="4" t="n">
        <f aca="false">E106/E$120</f>
        <v>0.10123457</v>
      </c>
      <c r="K106" s="1"/>
      <c r="L106" s="4" t="n">
        <f aca="false">G106+L105</f>
        <v>0.5568959</v>
      </c>
      <c r="M106" s="4" t="n">
        <f aca="false">H106+M105</f>
        <v>0.5433952</v>
      </c>
      <c r="N106" s="4" t="n">
        <f aca="false">I106+N105</f>
        <v>0.57149332</v>
      </c>
      <c r="O106" s="4" t="n">
        <f aca="false">J106+O105</f>
        <v>0.91358025</v>
      </c>
      <c r="P106" s="1"/>
      <c r="Q106" s="1"/>
      <c r="R106" s="4" t="n">
        <f aca="false">EXP(2.44-0.0007*$A106*$A106)/100</f>
        <v>0.080292711</v>
      </c>
      <c r="S106" s="4" t="n">
        <f aca="false">EXP(2.3-0.0005*$A106*$A106)/100</f>
        <v>0.078026916</v>
      </c>
      <c r="T106" s="4" t="n">
        <f aca="false">EXP(2.14-0.0003*$A106*$A106)/100</f>
        <v>0.071772227</v>
      </c>
      <c r="U106" s="4" t="n">
        <f aca="false">EXP(5.15-0.92*(LN($A106+0)))/100</f>
        <v>0.098312479</v>
      </c>
      <c r="V106" s="1"/>
      <c r="W106" s="4" t="n">
        <f aca="false">R106/R$120</f>
        <v>0.10491246</v>
      </c>
      <c r="X106" s="4" t="n">
        <f aca="false">S106/S$120</f>
        <v>0.097689502</v>
      </c>
      <c r="Y106" s="4" t="n">
        <f aca="false">T106/T$120</f>
        <v>0.088839438</v>
      </c>
      <c r="Z106" s="4" t="n">
        <f aca="false">U106/U$120</f>
        <v>0.077881714</v>
      </c>
    </row>
    <row r="107" customFormat="false" ht="16" hidden="false" customHeight="true" outlineLevel="0" collapsed="false">
      <c r="A107" s="1" t="n">
        <v>27.5</v>
      </c>
      <c r="B107" s="1" t="n">
        <v>10395</v>
      </c>
      <c r="C107" s="1" t="n">
        <v>3661</v>
      </c>
      <c r="D107" s="1" t="n">
        <v>352</v>
      </c>
      <c r="E107" s="1" t="n">
        <v>35</v>
      </c>
      <c r="F107" s="1"/>
      <c r="G107" s="4" t="n">
        <f aca="false">B107/B$120</f>
        <v>0.21807997</v>
      </c>
      <c r="H107" s="4" t="n">
        <f aca="false">C107/C$120</f>
        <v>0.1665302</v>
      </c>
      <c r="I107" s="4" t="n">
        <f aca="false">D107/D$120</f>
        <v>0.039882166</v>
      </c>
      <c r="J107" s="4" t="n">
        <f aca="false">E107/E$120</f>
        <v>0.086419753</v>
      </c>
      <c r="K107" s="1"/>
      <c r="L107" s="4" t="n">
        <f aca="false">G107+L106</f>
        <v>0.77497587</v>
      </c>
      <c r="M107" s="4" t="n">
        <f aca="false">H107+M106</f>
        <v>0.7099254</v>
      </c>
      <c r="N107" s="4" t="n">
        <f aca="false">I107+N106</f>
        <v>0.61137548</v>
      </c>
      <c r="O107" s="4" t="n">
        <f aca="false">J107+O106</f>
        <v>1</v>
      </c>
      <c r="P107" s="1"/>
      <c r="Q107" s="1"/>
      <c r="R107" s="4" t="n">
        <f aca="false">EXP(2.44-0.0007*$A107*$A107)/100</f>
        <v>0.06731808</v>
      </c>
      <c r="S107" s="4" t="n">
        <f aca="false">EXP(2.3-0.0005*$A107*$A107)/100</f>
        <v>0.069117216</v>
      </c>
      <c r="T107" s="4" t="n">
        <f aca="false">EXP(2.14-0.0003*$A107*$A107)/100</f>
        <v>0.066022632</v>
      </c>
      <c r="U107" s="4" t="n">
        <f aca="false">EXP(5.15-0.92*(LN($A107+0)))/100</f>
        <v>0.08173922</v>
      </c>
      <c r="V107" s="1"/>
      <c r="W107" s="4" t="n">
        <f aca="false">R107/R$120</f>
        <v>0.087959479</v>
      </c>
      <c r="X107" s="4" t="n">
        <f aca="false">S107/S$120</f>
        <v>0.08653458</v>
      </c>
      <c r="Y107" s="4" t="n">
        <f aca="false">T107/T$120</f>
        <v>0.081722607</v>
      </c>
      <c r="Z107" s="4" t="n">
        <f aca="false">U107/U$120</f>
        <v>0.064752619</v>
      </c>
    </row>
    <row r="108" customFormat="false" ht="16" hidden="false" customHeight="true" outlineLevel="0" collapsed="false">
      <c r="A108" s="1" t="n">
        <v>32.5</v>
      </c>
      <c r="B108" s="1" t="n">
        <v>1625</v>
      </c>
      <c r="C108" s="1" t="n">
        <v>1040</v>
      </c>
      <c r="D108" s="1" t="n">
        <v>540</v>
      </c>
      <c r="E108" s="1" t="n">
        <v>0</v>
      </c>
      <c r="F108" s="1"/>
      <c r="G108" s="4" t="n">
        <f aca="false">B108/B$120</f>
        <v>0.034091386</v>
      </c>
      <c r="H108" s="4" t="n">
        <f aca="false">C108/C$120</f>
        <v>0.047307132</v>
      </c>
      <c r="I108" s="4" t="n">
        <f aca="false">D108/D$120</f>
        <v>0.061182869</v>
      </c>
      <c r="J108" s="4" t="n">
        <f aca="false">E108/E$120</f>
        <v>0</v>
      </c>
      <c r="K108" s="1"/>
      <c r="L108" s="4" t="n">
        <f aca="false">G108+L107</f>
        <v>0.80906726</v>
      </c>
      <c r="M108" s="4" t="n">
        <f aca="false">H108+M107</f>
        <v>0.75723253</v>
      </c>
      <c r="N108" s="4" t="n">
        <f aca="false">I108+N107</f>
        <v>0.67255835</v>
      </c>
      <c r="O108" s="4" t="n">
        <f aca="false">J108+O107</f>
        <v>1</v>
      </c>
      <c r="P108" s="1"/>
      <c r="Q108" s="1"/>
      <c r="R108" s="4" t="n">
        <f aca="false">EXP(2.44-0.0007*$A108*$A108)/100</f>
        <v>0.054485186</v>
      </c>
      <c r="S108" s="4" t="n">
        <f aca="false">EXP(2.3-0.0005*$A108*$A108)/100</f>
        <v>0.059758046</v>
      </c>
      <c r="T108" s="4" t="n">
        <f aca="false">EXP(2.14-0.0003*$A108*$A108)/100</f>
        <v>0.059727801</v>
      </c>
      <c r="U108" s="4" t="n">
        <f aca="false">EXP(5.15-0.92*(LN($A108+0)))/100</f>
        <v>0.07009449</v>
      </c>
      <c r="V108" s="1"/>
      <c r="W108" s="4" t="n">
        <f aca="false">R108/R$120</f>
        <v>0.0711917</v>
      </c>
      <c r="X108" s="4" t="n">
        <f aca="false">S108/S$120</f>
        <v>0.074816923</v>
      </c>
      <c r="Y108" s="4" t="n">
        <f aca="false">T108/T$120</f>
        <v>0.073930885</v>
      </c>
      <c r="Z108" s="4" t="n">
        <f aca="false">U108/U$120</f>
        <v>0.055527834</v>
      </c>
    </row>
    <row r="109" customFormat="false" ht="16" hidden="false" customHeight="true" outlineLevel="0" collapsed="false">
      <c r="A109" s="1" t="n">
        <v>37.5</v>
      </c>
      <c r="B109" s="1" t="n">
        <v>1574</v>
      </c>
      <c r="C109" s="1" t="n">
        <v>832</v>
      </c>
      <c r="D109" s="1" t="n">
        <v>811</v>
      </c>
      <c r="E109" s="1" t="n">
        <v>0</v>
      </c>
      <c r="F109" s="1"/>
      <c r="G109" s="4" t="n">
        <f aca="false">B109/B$120</f>
        <v>0.033021441</v>
      </c>
      <c r="H109" s="4" t="n">
        <f aca="false">C109/C$120</f>
        <v>0.037845706</v>
      </c>
      <c r="I109" s="4" t="n">
        <f aca="false">D109/D$120</f>
        <v>0.091887605</v>
      </c>
      <c r="J109" s="4" t="n">
        <f aca="false">E109/E$120</f>
        <v>0</v>
      </c>
      <c r="K109" s="1"/>
      <c r="L109" s="4" t="n">
        <f aca="false">G109+L108</f>
        <v>0.8420887</v>
      </c>
      <c r="M109" s="4" t="n">
        <f aca="false">H109+M108</f>
        <v>0.79507824</v>
      </c>
      <c r="N109" s="4" t="n">
        <f aca="false">I109+N108</f>
        <v>0.76444596</v>
      </c>
      <c r="O109" s="4" t="n">
        <f aca="false">J109+O108</f>
        <v>1</v>
      </c>
      <c r="P109" s="1"/>
      <c r="Q109" s="1"/>
      <c r="R109" s="4" t="n">
        <f aca="false">EXP(2.44-0.0007*$A109*$A109)/100</f>
        <v>0.042571237</v>
      </c>
      <c r="S109" s="4" t="n">
        <f aca="false">EXP(2.3-0.0005*$A109*$A109)/100</f>
        <v>0.050428366</v>
      </c>
      <c r="T109" s="4" t="n">
        <f aca="false">EXP(2.14-0.0003*$A109*$A109)/100</f>
        <v>0.053138281</v>
      </c>
      <c r="U109" s="4" t="n">
        <f aca="false">EXP(5.15-0.92*(LN($A109+0)))/100</f>
        <v>0.061448007</v>
      </c>
      <c r="V109" s="1"/>
      <c r="W109" s="4" t="n">
        <f aca="false">R109/R$120</f>
        <v>0.055624639</v>
      </c>
      <c r="X109" s="4" t="n">
        <f aca="false">S109/S$120</f>
        <v>0.063136188</v>
      </c>
      <c r="Y109" s="4" t="n">
        <f aca="false">T109/T$120</f>
        <v>0.065774398</v>
      </c>
      <c r="Z109" s="4" t="n">
        <f aca="false">U109/U$120</f>
        <v>0.048678216</v>
      </c>
    </row>
    <row r="110" customFormat="false" ht="16" hidden="false" customHeight="true" outlineLevel="0" collapsed="false">
      <c r="A110" s="1" t="n">
        <v>42.5</v>
      </c>
      <c r="B110" s="1" t="n">
        <v>3625</v>
      </c>
      <c r="C110" s="1" t="n">
        <v>1763</v>
      </c>
      <c r="D110" s="1" t="n">
        <v>296</v>
      </c>
      <c r="E110" s="1" t="n">
        <v>0</v>
      </c>
      <c r="F110" s="1"/>
      <c r="G110" s="4" t="n">
        <f aca="false">B110/B$120</f>
        <v>0.076050015</v>
      </c>
      <c r="H110" s="4" t="n">
        <f aca="false">C110/C$120</f>
        <v>0.080194687</v>
      </c>
      <c r="I110" s="4" t="n">
        <f aca="false">D110/D$120</f>
        <v>0.033537276</v>
      </c>
      <c r="J110" s="4" t="n">
        <f aca="false">E110/E$120</f>
        <v>0</v>
      </c>
      <c r="K110" s="1"/>
      <c r="L110" s="4" t="n">
        <f aca="false">G110+L109</f>
        <v>0.91813872</v>
      </c>
      <c r="M110" s="4" t="n">
        <f aca="false">H110+M109</f>
        <v>0.87527293</v>
      </c>
      <c r="N110" s="4" t="n">
        <f aca="false">I110+N109</f>
        <v>0.79798323</v>
      </c>
      <c r="O110" s="4" t="n">
        <f aca="false">J110+O109</f>
        <v>1</v>
      </c>
      <c r="P110" s="1"/>
      <c r="Q110" s="1"/>
      <c r="R110" s="4" t="n">
        <f aca="false">EXP(2.44-0.0007*$A110*$A110)/100</f>
        <v>0.032110364</v>
      </c>
      <c r="S110" s="4" t="n">
        <f aca="false">EXP(2.3-0.0005*$A110*$A110)/100</f>
        <v>0.041535723</v>
      </c>
      <c r="T110" s="4" t="n">
        <f aca="false">EXP(2.14-0.0003*$A110*$A110)/100</f>
        <v>0.046492806</v>
      </c>
      <c r="U110" s="4" t="n">
        <f aca="false">EXP(5.15-0.92*(LN($A110+0)))/100</f>
        <v>0.054764453</v>
      </c>
      <c r="V110" s="1"/>
      <c r="W110" s="4" t="n">
        <f aca="false">R110/R$120</f>
        <v>0.041956201</v>
      </c>
      <c r="X110" s="4" t="n">
        <f aca="false">S110/S$120</f>
        <v>0.05200262</v>
      </c>
      <c r="Y110" s="4" t="n">
        <f aca="false">T110/T$120</f>
        <v>0.05754865</v>
      </c>
      <c r="Z110" s="4" t="n">
        <f aca="false">U110/U$120</f>
        <v>0.043383602</v>
      </c>
    </row>
    <row r="111" customFormat="false" ht="16" hidden="false" customHeight="true" outlineLevel="0" collapsed="false">
      <c r="A111" s="1" t="n">
        <v>47.5</v>
      </c>
      <c r="B111" s="1" t="n">
        <v>741</v>
      </c>
      <c r="C111" s="1" t="n">
        <v>378</v>
      </c>
      <c r="D111" s="1" t="n">
        <v>143</v>
      </c>
      <c r="E111" s="1" t="n">
        <v>0</v>
      </c>
      <c r="F111" s="1"/>
      <c r="G111" s="4" t="n">
        <f aca="false">B111/B$120</f>
        <v>0.015545672</v>
      </c>
      <c r="H111" s="4" t="n">
        <f aca="false">C111/C$120</f>
        <v>0.017194323</v>
      </c>
      <c r="I111" s="4" t="n">
        <f aca="false">D111/D$120</f>
        <v>0.01620213</v>
      </c>
      <c r="J111" s="4" t="n">
        <f aca="false">E111/E$120</f>
        <v>0</v>
      </c>
      <c r="K111" s="1"/>
      <c r="L111" s="4" t="n">
        <f aca="false">G111+L110</f>
        <v>0.93368439</v>
      </c>
      <c r="M111" s="4" t="n">
        <f aca="false">H111+M110</f>
        <v>0.89246725</v>
      </c>
      <c r="N111" s="4" t="n">
        <f aca="false">I111+N110</f>
        <v>0.81418536</v>
      </c>
      <c r="O111" s="4" t="n">
        <f aca="false">J111+O110</f>
        <v>1</v>
      </c>
      <c r="P111" s="1"/>
      <c r="Q111" s="1"/>
      <c r="R111" s="4" t="n">
        <f aca="false">EXP(2.44-0.0007*$A111*$A111)/100</f>
        <v>0.02338112</v>
      </c>
      <c r="S111" s="4" t="n">
        <f aca="false">EXP(2.3-0.0005*$A111*$A111)/100</f>
        <v>0.033391582</v>
      </c>
      <c r="T111" s="4" t="n">
        <f aca="false">EXP(2.14-0.0003*$A111*$A111)/100</f>
        <v>0.040004726</v>
      </c>
      <c r="U111" s="4" t="n">
        <f aca="false">EXP(5.15-0.92*(LN($A111+0)))/100</f>
        <v>0.049437722</v>
      </c>
      <c r="V111" s="1"/>
      <c r="W111" s="4" t="n">
        <f aca="false">R111/R$120</f>
        <v>0.030550353</v>
      </c>
      <c r="X111" s="4" t="n">
        <f aca="false">S111/S$120</f>
        <v>0.041806177</v>
      </c>
      <c r="Y111" s="4" t="n">
        <f aca="false">T111/T$120</f>
        <v>0.049517724</v>
      </c>
      <c r="Z111" s="4" t="n">
        <f aca="false">U111/U$120</f>
        <v>0.039163843</v>
      </c>
    </row>
    <row r="112" customFormat="false" ht="16" hidden="false" customHeight="true" outlineLevel="0" collapsed="false">
      <c r="A112" s="1" t="n">
        <v>52.5</v>
      </c>
      <c r="B112" s="1" t="n">
        <v>369</v>
      </c>
      <c r="C112" s="1" t="n">
        <v>393</v>
      </c>
      <c r="D112" s="1" t="n">
        <v>856</v>
      </c>
      <c r="E112" s="1" t="n">
        <v>0</v>
      </c>
      <c r="F112" s="1"/>
      <c r="G112" s="4" t="n">
        <f aca="false">B112/B$120</f>
        <v>0.007741367</v>
      </c>
      <c r="H112" s="4" t="n">
        <f aca="false">C112/C$120</f>
        <v>0.017876638</v>
      </c>
      <c r="I112" s="4" t="n">
        <f aca="false">D112/D$120</f>
        <v>0.096986177</v>
      </c>
      <c r="J112" s="4" t="n">
        <f aca="false">E112/E$120</f>
        <v>0</v>
      </c>
      <c r="K112" s="1"/>
      <c r="L112" s="4" t="n">
        <f aca="false">G112+L111</f>
        <v>0.94142575</v>
      </c>
      <c r="M112" s="4" t="n">
        <f aca="false">H112+M111</f>
        <v>0.91034389</v>
      </c>
      <c r="N112" s="4" t="n">
        <f aca="false">I112+N111</f>
        <v>0.91117154</v>
      </c>
      <c r="O112" s="4" t="n">
        <f aca="false">J112+O111</f>
        <v>1</v>
      </c>
      <c r="P112" s="1"/>
      <c r="Q112" s="1"/>
      <c r="R112" s="4" t="n">
        <f aca="false">EXP(2.44-0.0007*$A112*$A112)/100</f>
        <v>0.016435257</v>
      </c>
      <c r="S112" s="4" t="n">
        <f aca="false">EXP(2.3-0.0005*$A112*$A112)/100</f>
        <v>0.026201164</v>
      </c>
      <c r="T112" s="4" t="n">
        <f aca="false">EXP(2.14-0.0003*$A112*$A112)/100</f>
        <v>0.033851983</v>
      </c>
      <c r="U112" s="4" t="n">
        <f aca="false">EXP(5.15-0.92*(LN($A112+0)))/100</f>
        <v>0.045088939</v>
      </c>
      <c r="V112" s="1"/>
      <c r="W112" s="4" t="n">
        <f aca="false">R112/R$120</f>
        <v>0.021474716</v>
      </c>
      <c r="X112" s="4" t="n">
        <f aca="false">S112/S$120</f>
        <v>0.032803792</v>
      </c>
      <c r="Y112" s="4" t="n">
        <f aca="false">T112/T$120</f>
        <v>0.041901879</v>
      </c>
      <c r="Z112" s="4" t="n">
        <f aca="false">U112/U$120</f>
        <v>0.035718801</v>
      </c>
    </row>
    <row r="113" customFormat="false" ht="16" hidden="false" customHeight="true" outlineLevel="0" collapsed="false">
      <c r="A113" s="1" t="n">
        <v>57.5</v>
      </c>
      <c r="B113" s="1" t="n">
        <v>1919</v>
      </c>
      <c r="C113" s="1" t="n">
        <v>1144</v>
      </c>
      <c r="D113" s="1" t="n">
        <v>31</v>
      </c>
      <c r="E113" s="1" t="n">
        <v>0</v>
      </c>
      <c r="F113" s="1"/>
      <c r="G113" s="4" t="n">
        <f aca="false">B113/B$120</f>
        <v>0.040259304</v>
      </c>
      <c r="H113" s="4" t="n">
        <f aca="false">C113/C$120</f>
        <v>0.052037846</v>
      </c>
      <c r="I113" s="4" t="n">
        <f aca="false">D113/D$120</f>
        <v>0.0035123499</v>
      </c>
      <c r="J113" s="4" t="n">
        <f aca="false">E113/E$120</f>
        <v>0</v>
      </c>
      <c r="K113" s="1"/>
      <c r="L113" s="4" t="n">
        <f aca="false">G113+L112</f>
        <v>0.98168506</v>
      </c>
      <c r="M113" s="4" t="n">
        <f aca="false">H113+M112</f>
        <v>0.96238173</v>
      </c>
      <c r="N113" s="4" t="n">
        <f aca="false">I113+N112</f>
        <v>0.91468389</v>
      </c>
      <c r="O113" s="4" t="n">
        <f aca="false">J113+O112</f>
        <v>1</v>
      </c>
      <c r="P113" s="1"/>
      <c r="Q113" s="1"/>
      <c r="R113" s="4" t="n">
        <f aca="false">EXP(2.44-0.0007*$A113*$A113)/100</f>
        <v>0.011152669</v>
      </c>
      <c r="S113" s="4" t="n">
        <f aca="false">EXP(2.3-0.0005*$A113*$A113)/100</f>
        <v>0.020066542</v>
      </c>
      <c r="T113" s="4" t="n">
        <f aca="false">EXP(2.14-0.0003*$A113*$A113)/100</f>
        <v>0.028171127</v>
      </c>
      <c r="U113" s="4" t="n">
        <f aca="false">EXP(5.15-0.92*(LN($A113+0)))/100</f>
        <v>0.041468866</v>
      </c>
      <c r="V113" s="1"/>
      <c r="W113" s="4" t="n">
        <f aca="false">R113/R$120</f>
        <v>0.014572355</v>
      </c>
      <c r="X113" s="4" t="n">
        <f aca="false">S113/S$120</f>
        <v>0.02512326</v>
      </c>
      <c r="Y113" s="4" t="n">
        <f aca="false">T113/T$120</f>
        <v>0.034870133</v>
      </c>
      <c r="Z113" s="4" t="n">
        <f aca="false">U113/U$120</f>
        <v>0.032851031</v>
      </c>
    </row>
    <row r="114" customFormat="false" ht="16" hidden="false" customHeight="true" outlineLevel="0" collapsed="false">
      <c r="A114" s="1" t="n">
        <v>62.5</v>
      </c>
      <c r="B114" s="1" t="n">
        <v>210</v>
      </c>
      <c r="C114" s="1" t="n">
        <v>148</v>
      </c>
      <c r="D114" s="1" t="n">
        <v>88</v>
      </c>
      <c r="E114" s="1" t="n">
        <v>0</v>
      </c>
      <c r="F114" s="1"/>
      <c r="G114" s="4" t="n">
        <f aca="false">B114/B$120</f>
        <v>0.004405656</v>
      </c>
      <c r="H114" s="4" t="n">
        <f aca="false">C114/C$120</f>
        <v>0.0067321689</v>
      </c>
      <c r="I114" s="4" t="n">
        <f aca="false">D114/D$120</f>
        <v>0.0099705416</v>
      </c>
      <c r="J114" s="4" t="n">
        <f aca="false">E114/E$120</f>
        <v>0</v>
      </c>
      <c r="K114" s="1"/>
      <c r="L114" s="4" t="n">
        <f aca="false">G114+L113</f>
        <v>0.98609071</v>
      </c>
      <c r="M114" s="4" t="n">
        <f aca="false">H114+M113</f>
        <v>0.9691139</v>
      </c>
      <c r="N114" s="4" t="n">
        <f aca="false">I114+N113</f>
        <v>0.92465443</v>
      </c>
      <c r="O114" s="4" t="n">
        <f aca="false">J114+O113</f>
        <v>1</v>
      </c>
      <c r="P114" s="1"/>
      <c r="Q114" s="1"/>
      <c r="R114" s="4" t="n">
        <f aca="false">EXP(2.44-0.0007*$A114*$A114)/100</f>
        <v>0.0073058752</v>
      </c>
      <c r="S114" s="4" t="n">
        <f aca="false">EXP(2.3-0.0005*$A114*$A114)/100</f>
        <v>0.015000055</v>
      </c>
      <c r="T114" s="4" t="n">
        <f aca="false">EXP(2.14-0.0003*$A114*$A114)/100</f>
        <v>0.023055344</v>
      </c>
      <c r="U114" s="4" t="n">
        <f aca="false">EXP(5.15-0.92*(LN($A114+0)))/100</f>
        <v>0.038406697</v>
      </c>
      <c r="V114" s="1"/>
      <c r="W114" s="4" t="n">
        <f aca="false">R114/R$120</f>
        <v>0.0095460384</v>
      </c>
      <c r="X114" s="4" t="n">
        <f aca="false">S114/S$120</f>
        <v>0.018780031</v>
      </c>
      <c r="Y114" s="4" t="n">
        <f aca="false">T114/T$120</f>
        <v>0.028537833</v>
      </c>
      <c r="Z114" s="4" t="n">
        <f aca="false">U114/U$120</f>
        <v>0.030425226</v>
      </c>
    </row>
    <row r="115" customFormat="false" ht="16" hidden="false" customHeight="true" outlineLevel="0" collapsed="false">
      <c r="A115" s="1" t="n">
        <v>67.5</v>
      </c>
      <c r="B115" s="1" t="n">
        <v>205</v>
      </c>
      <c r="C115" s="1" t="n">
        <v>195</v>
      </c>
      <c r="D115" s="1" t="n">
        <v>182</v>
      </c>
      <c r="E115" s="1" t="n">
        <v>0</v>
      </c>
      <c r="F115" s="1"/>
      <c r="G115" s="4" t="n">
        <f aca="false">B115/B$120</f>
        <v>0.0043007595</v>
      </c>
      <c r="H115" s="4" t="n">
        <f aca="false">C115/C$120</f>
        <v>0.0088700873</v>
      </c>
      <c r="I115" s="4" t="n">
        <f aca="false">D115/D$120</f>
        <v>0.020620893</v>
      </c>
      <c r="J115" s="4" t="n">
        <f aca="false">E115/E$120</f>
        <v>0</v>
      </c>
      <c r="K115" s="1"/>
      <c r="L115" s="4" t="n">
        <f aca="false">G115+L114</f>
        <v>0.99039147</v>
      </c>
      <c r="M115" s="4" t="n">
        <f aca="false">H115+M114</f>
        <v>0.97798399</v>
      </c>
      <c r="N115" s="4" t="n">
        <f aca="false">I115+N114</f>
        <v>0.94527532</v>
      </c>
      <c r="O115" s="4" t="n">
        <f aca="false">J115+O114</f>
        <v>1</v>
      </c>
      <c r="P115" s="1"/>
      <c r="Q115" s="1"/>
      <c r="R115" s="4" t="n">
        <f aca="false">EXP(2.44-0.0007*$A115*$A115)/100</f>
        <v>0.0046201577</v>
      </c>
      <c r="S115" s="4" t="n">
        <f aca="false">EXP(2.3-0.0005*$A115*$A115)/100</f>
        <v>0.010944137</v>
      </c>
      <c r="T115" s="4" t="n">
        <f aca="false">EXP(2.14-0.0003*$A115*$A115)/100</f>
        <v>0.018556082</v>
      </c>
      <c r="U115" s="4" t="n">
        <f aca="false">EXP(5.15-0.92*(LN($A115+0)))/100</f>
        <v>0.035781382</v>
      </c>
      <c r="V115" s="1"/>
      <c r="W115" s="4" t="n">
        <f aca="false">R115/R$120</f>
        <v>0.0060368131</v>
      </c>
      <c r="X115" s="4" t="n">
        <f aca="false">S115/S$120</f>
        <v>0.013702031</v>
      </c>
      <c r="Y115" s="4" t="n">
        <f aca="false">T115/T$120</f>
        <v>0.02296866</v>
      </c>
      <c r="Z115" s="4" t="n">
        <f aca="false">U115/U$120</f>
        <v>0.028345489</v>
      </c>
    </row>
    <row r="116" customFormat="false" ht="16" hidden="false" customHeight="true" outlineLevel="0" collapsed="false">
      <c r="A116" s="1" t="n">
        <v>72.5</v>
      </c>
      <c r="B116" s="1" t="n">
        <v>352</v>
      </c>
      <c r="C116" s="1" t="n">
        <v>219</v>
      </c>
      <c r="D116" s="1" t="n">
        <v>98</v>
      </c>
      <c r="E116" s="1" t="n">
        <v>0</v>
      </c>
      <c r="F116" s="1"/>
      <c r="G116" s="4" t="n">
        <f aca="false">B116/B$120</f>
        <v>0.0073847187</v>
      </c>
      <c r="H116" s="4" t="n">
        <f aca="false">C116/C$120</f>
        <v>0.0099617904</v>
      </c>
      <c r="I116" s="4" t="n">
        <f aca="false">D116/D$120</f>
        <v>0.011103558</v>
      </c>
      <c r="J116" s="4" t="n">
        <f aca="false">E116/E$120</f>
        <v>0</v>
      </c>
      <c r="K116" s="1"/>
      <c r="L116" s="4" t="n">
        <f aca="false">G116+L115</f>
        <v>0.99777619</v>
      </c>
      <c r="M116" s="4" t="n">
        <f aca="false">H116+M115</f>
        <v>0.98794578</v>
      </c>
      <c r="N116" s="4" t="n">
        <f aca="false">I116+N115</f>
        <v>0.95637888</v>
      </c>
      <c r="O116" s="4" t="n">
        <f aca="false">J116+O115</f>
        <v>1</v>
      </c>
      <c r="P116" s="1"/>
      <c r="Q116" s="1"/>
      <c r="R116" s="4" t="n">
        <f aca="false">EXP(2.44-0.0007*$A116*$A116)/100</f>
        <v>0.0028205414</v>
      </c>
      <c r="S116" s="4" t="n">
        <f aca="false">EXP(2.3-0.0005*$A116*$A116)/100</f>
        <v>0.0077936075</v>
      </c>
      <c r="T116" s="4" t="n">
        <f aca="false">EXP(2.14-0.0003*$A116*$A116)/100</f>
        <v>0.014687512</v>
      </c>
      <c r="U116" s="4" t="n">
        <f aca="false">EXP(5.15-0.92*(LN($A116+0)))/100</f>
        <v>0.03350469</v>
      </c>
      <c r="V116" s="1"/>
      <c r="W116" s="4" t="n">
        <f aca="false">R116/R$120</f>
        <v>0.0036853896</v>
      </c>
      <c r="X116" s="4" t="n">
        <f aca="false">S116/S$120</f>
        <v>0.0097575769</v>
      </c>
      <c r="Y116" s="4" t="n">
        <f aca="false">T116/T$120</f>
        <v>0.018180156</v>
      </c>
      <c r="Z116" s="4" t="n">
        <f aca="false">U116/U$120</f>
        <v>0.026541928</v>
      </c>
    </row>
    <row r="117" customFormat="false" ht="16" hidden="false" customHeight="true" outlineLevel="0" collapsed="false">
      <c r="A117" s="1" t="n">
        <v>77.5</v>
      </c>
      <c r="B117" s="1" t="n">
        <v>106</v>
      </c>
      <c r="C117" s="1" t="n">
        <v>39</v>
      </c>
      <c r="D117" s="1" t="n">
        <v>100</v>
      </c>
      <c r="E117" s="1" t="n">
        <v>0</v>
      </c>
      <c r="F117" s="1"/>
      <c r="G117" s="4" t="n">
        <f aca="false">B117/B$120</f>
        <v>0.0022238073</v>
      </c>
      <c r="H117" s="4" t="n">
        <f aca="false">C117/C$120</f>
        <v>0.0017740175</v>
      </c>
      <c r="I117" s="4" t="n">
        <f aca="false">D117/D$120</f>
        <v>0.011330161</v>
      </c>
      <c r="J117" s="4" t="n">
        <f aca="false">E117/E$120</f>
        <v>0</v>
      </c>
      <c r="K117" s="1"/>
      <c r="L117" s="4" t="n">
        <f aca="false">G117+L116</f>
        <v>1</v>
      </c>
      <c r="M117" s="4" t="n">
        <f aca="false">H117+M116</f>
        <v>0.9897198</v>
      </c>
      <c r="N117" s="4" t="n">
        <f aca="false">I117+N116</f>
        <v>0.96770904</v>
      </c>
      <c r="O117" s="4" t="n">
        <f aca="false">J117+O116</f>
        <v>1</v>
      </c>
      <c r="P117" s="1"/>
      <c r="Q117" s="1"/>
      <c r="R117" s="4" t="n">
        <f aca="false">EXP(2.44-0.0007*$A117*$A117)/100</f>
        <v>0.0016622612</v>
      </c>
      <c r="S117" s="4" t="n">
        <f aca="false">EXP(2.3-0.0005*$A117*$A117)/100</f>
        <v>0.0054170633</v>
      </c>
      <c r="T117" s="4" t="n">
        <f aca="false">EXP(2.14-0.0003*$A117*$A117)/100</f>
        <v>0.011432928</v>
      </c>
      <c r="U117" s="4" t="n">
        <f aca="false">EXP(5.15-0.92*(LN($A117+0)))/100</f>
        <v>0.03151077</v>
      </c>
      <c r="V117" s="1"/>
      <c r="W117" s="4" t="n">
        <f aca="false">R117/R$120</f>
        <v>0.0021719519</v>
      </c>
      <c r="X117" s="4" t="n">
        <f aca="false">S117/S$120</f>
        <v>0.0067821496</v>
      </c>
      <c r="Y117" s="4" t="n">
        <f aca="false">T117/T$120</f>
        <v>0.014151642</v>
      </c>
      <c r="Z117" s="4" t="n">
        <f aca="false">U117/U$120</f>
        <v>0.024962373</v>
      </c>
    </row>
    <row r="118" customFormat="false" ht="16" hidden="false" customHeight="true" outlineLevel="0" collapsed="false">
      <c r="A118" s="1" t="n">
        <v>82.5</v>
      </c>
      <c r="B118" s="1" t="n">
        <v>0</v>
      </c>
      <c r="C118" s="1" t="n">
        <v>151</v>
      </c>
      <c r="D118" s="1" t="n">
        <v>250</v>
      </c>
      <c r="E118" s="1" t="n">
        <v>0</v>
      </c>
      <c r="F118" s="1"/>
      <c r="G118" s="4" t="n">
        <f aca="false">B118/B$120</f>
        <v>0</v>
      </c>
      <c r="H118" s="4" t="n">
        <f aca="false">C118/C$120</f>
        <v>0.0068686317</v>
      </c>
      <c r="I118" s="4" t="n">
        <f aca="false">D118/D$120</f>
        <v>0.028325402</v>
      </c>
      <c r="J118" s="4" t="n">
        <f aca="false">E118/E$120</f>
        <v>0</v>
      </c>
      <c r="K118" s="1"/>
      <c r="L118" s="4" t="n">
        <f aca="false">G118+L117</f>
        <v>1</v>
      </c>
      <c r="M118" s="4" t="n">
        <f aca="false">H118+M117</f>
        <v>0.99658843</v>
      </c>
      <c r="N118" s="4" t="n">
        <f aca="false">I118+N117</f>
        <v>0.99603444</v>
      </c>
      <c r="O118" s="4" t="n">
        <f aca="false">J118+O117</f>
        <v>1</v>
      </c>
      <c r="P118" s="1"/>
      <c r="Q118" s="1"/>
      <c r="R118" s="4" t="n">
        <f aca="false">EXP(2.44-0.0007*$A118*$A118)/100</f>
        <v>0.00094570825</v>
      </c>
      <c r="S118" s="4" t="n">
        <f aca="false">EXP(2.3-0.0005*$A118*$A118)/100</f>
        <v>0.0036750026</v>
      </c>
      <c r="T118" s="4" t="n">
        <f aca="false">EXP(2.14-0.0003*$A118*$A118)/100</f>
        <v>0.0087521343</v>
      </c>
      <c r="U118" s="4" t="n">
        <f aca="false">EXP(5.15-0.92*(LN($A118+0)))/100</f>
        <v>0.02974945</v>
      </c>
      <c r="V118" s="1"/>
      <c r="W118" s="4" t="n">
        <f aca="false">R118/R$120</f>
        <v>0.001235686</v>
      </c>
      <c r="X118" s="4" t="n">
        <f aca="false">S118/S$120</f>
        <v>0.004601094</v>
      </c>
      <c r="Y118" s="4" t="n">
        <f aca="false">T118/T$120</f>
        <v>0.010833364</v>
      </c>
      <c r="Z118" s="4" t="n">
        <f aca="false">U118/U$120</f>
        <v>0.023567081</v>
      </c>
    </row>
    <row r="119" customFormat="false" ht="16" hidden="false" customHeight="true" outlineLevel="0" collapsed="false">
      <c r="A119" s="1" t="n">
        <v>87.5</v>
      </c>
      <c r="B119" s="1" t="n">
        <v>0</v>
      </c>
      <c r="C119" s="1" t="n">
        <v>75</v>
      </c>
      <c r="D119" s="1" t="n">
        <v>35</v>
      </c>
      <c r="E119" s="1" t="n">
        <v>0</v>
      </c>
      <c r="F119" s="1"/>
      <c r="G119" s="4" t="n">
        <f aca="false">B119/B$120</f>
        <v>0</v>
      </c>
      <c r="H119" s="4" t="n">
        <f aca="false">C119/C$120</f>
        <v>0.0034115721</v>
      </c>
      <c r="I119" s="4" t="n">
        <f aca="false">D119/D$120</f>
        <v>0.0039655563</v>
      </c>
      <c r="J119" s="4" t="n">
        <f aca="false">E119/E$120</f>
        <v>0</v>
      </c>
      <c r="K119" s="1"/>
      <c r="L119" s="4" t="n">
        <f aca="false">G119+L118</f>
        <v>1</v>
      </c>
      <c r="M119" s="4" t="n">
        <f aca="false">H119+M118</f>
        <v>1</v>
      </c>
      <c r="N119" s="4" t="n">
        <f aca="false">I119+N118</f>
        <v>1</v>
      </c>
      <c r="O119" s="4" t="n">
        <f aca="false">J119+O118</f>
        <v>1</v>
      </c>
      <c r="P119" s="1"/>
      <c r="Q119" s="1"/>
      <c r="R119" s="4" t="n">
        <f aca="false">EXP(2.44-0.0007*$A119*$A119)/100</f>
        <v>0.0005194051</v>
      </c>
      <c r="S119" s="4" t="n">
        <f aca="false">EXP(2.3-0.0005*$A119*$A119)/100</f>
        <v>0.002433435</v>
      </c>
      <c r="T119" s="4" t="n">
        <f aca="false">EXP(2.14-0.0003*$A119*$A119)/100</f>
        <v>0.0065889737</v>
      </c>
      <c r="U119" s="4" t="n">
        <f aca="false">EXP(5.15-0.92*(LN($A119+0)))/100</f>
        <v>0.028181829</v>
      </c>
      <c r="V119" s="1"/>
      <c r="W119" s="4" t="n">
        <f aca="false">R119/R$120</f>
        <v>0.00067866764</v>
      </c>
      <c r="X119" s="4" t="n">
        <f aca="false">S119/S$120</f>
        <v>0.0030466545</v>
      </c>
      <c r="Y119" s="4" t="n">
        <f aca="false">T119/T$120</f>
        <v>0.0081558109</v>
      </c>
      <c r="Z119" s="4" t="n">
        <f aca="false">U119/U$120</f>
        <v>0.022325234</v>
      </c>
    </row>
    <row r="120" customFormat="false" ht="16" hidden="false" customHeight="true" outlineLevel="0" collapsed="false">
      <c r="A120" s="1" t="n">
        <v>92.5</v>
      </c>
      <c r="B120" s="1" t="n">
        <f aca="false">SUM(B101:B119)</f>
        <v>47666</v>
      </c>
      <c r="C120" s="1" t="n">
        <f aca="false">SUM(C101:C119)</f>
        <v>21984</v>
      </c>
      <c r="D120" s="1" t="n">
        <f aca="false">SUM(D101:D119)</f>
        <v>8826</v>
      </c>
      <c r="E120" s="1" t="n">
        <f aca="false">SUM(E101:E119)</f>
        <v>405</v>
      </c>
      <c r="R120" s="1" t="n">
        <f aca="false">SUM(R101:R119)</f>
        <v>0.76533059</v>
      </c>
      <c r="S120" s="1" t="n">
        <f aca="false">SUM(S101:S119)</f>
        <v>0.79872365</v>
      </c>
      <c r="T120" s="1" t="n">
        <f aca="false">SUM(T101:T119)</f>
        <v>0.807887</v>
      </c>
      <c r="U120" s="1" t="n">
        <f aca="false">SUM(U101:U119)</f>
        <v>1.2623307</v>
      </c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