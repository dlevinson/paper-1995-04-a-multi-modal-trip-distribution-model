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style1.xml" ContentType="application/vnd.ms-office.chartstyle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style5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2.xml" ContentType="application/vnd.ms-office.chartcolor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Chart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<sst xmlns="http://schemas.openxmlformats.org/spreadsheetml/2006/main" count="251" uniqueCount="56">
  <si>
    <t xml:space="preserve">TRAVEL 2 Multimodal Spatial Trip Distribution Model</t>
  </si>
  <si>
    <t xml:space="preserve">components of impedance matrix</t>
  </si>
  <si>
    <t xml:space="preserve">MODEL COEFFICIENTS and (t-statistics)</t>
  </si>
  <si>
    <t xml:space="preserve">TABLE 1:</t>
  </si>
  <si>
    <t xml:space="preserve">HOME TO WORK, WORK TO HOME PURPOSES</t>
  </si>
  <si>
    <t xml:space="preserve">ALL DAY, METROPOLITAN WASHINGTON REGION</t>
  </si>
  <si>
    <t xml:space="preserve">MODE:</t>
  </si>
  <si>
    <t xml:space="preserve">ADT</t>
  </si>
  <si>
    <t xml:space="preserve">APT</t>
  </si>
  <si>
    <t xml:space="preserve">WCT</t>
  </si>
  <si>
    <t xml:space="preserve">AU1</t>
  </si>
  <si>
    <t xml:space="preserve">AU2</t>
  </si>
  <si>
    <t xml:space="preserve">AU3+</t>
  </si>
  <si>
    <t xml:space="preserve">WALK</t>
  </si>
  <si>
    <t xml:space="preserve">VARIABLE:</t>
  </si>
  <si>
    <t xml:space="preserve">|</t>
  </si>
  <si>
    <t xml:space="preserve">-</t>
  </si>
  <si>
    <t xml:space="preserve">TIME</t>
  </si>
  <si>
    <t xml:space="preserve">(2.3)</t>
  </si>
  <si>
    <t xml:space="preserve">(-3.8)</t>
  </si>
  <si>
    <t xml:space="preserve">(-7.9)</t>
  </si>
  <si>
    <t xml:space="preserve">(-17.2)</t>
  </si>
  <si>
    <t xml:space="preserve">(-16.4)</t>
  </si>
  <si>
    <t xml:space="preserve">(-10.6)</t>
  </si>
  <si>
    <t xml:space="preserve">(-11.6)</t>
  </si>
  <si>
    <t xml:space="preserve">TIME^0.5</t>
  </si>
  <si>
    <t xml:space="preserve">(2.1)</t>
  </si>
  <si>
    <t xml:space="preserve">TIME^2.0</t>
  </si>
  <si>
    <t xml:space="preserve">(-4.6)</t>
  </si>
  <si>
    <t xml:space="preserve">CONSTANT</t>
  </si>
  <si>
    <t xml:space="preserve">r-squared</t>
  </si>
  <si>
    <t xml:space="preserve">TABLE 2:</t>
  </si>
  <si>
    <t xml:space="preserve">HOME TO OTHER, OTHER TO HOME, OTHER TO OTHER PURPOSES</t>
  </si>
  <si>
    <t xml:space="preserve">AU2+</t>
  </si>
  <si>
    <t xml:space="preserve">(-6.7)</t>
  </si>
  <si>
    <t xml:space="preserve">(-8.4)</t>
  </si>
  <si>
    <t xml:space="preserve">(-15.3)</t>
  </si>
  <si>
    <t xml:space="preserve">(-11.1)</t>
  </si>
  <si>
    <t xml:space="preserve">(2.7)</t>
  </si>
  <si>
    <t xml:space="preserve">(3.7)</t>
  </si>
  <si>
    <t xml:space="preserve">estimated: April 1992 by MCPD</t>
  </si>
  <si>
    <t xml:space="preserve">from: MWCOG 1987-88 Household Travel Survey</t>
  </si>
  <si>
    <t xml:space="preserve">TABLE 3:</t>
  </si>
  <si>
    <t xml:space="preserve">MODES:</t>
  </si>
  <si>
    <t xml:space="preserve">Auto Drive to Transit (Park and Ride)</t>
  </si>
  <si>
    <t xml:space="preserve">Auto Passenger to Transit (Kiss and Ride)</t>
  </si>
  <si>
    <t xml:space="preserve">Walk Connect Transit </t>
  </si>
  <si>
    <t xml:space="preserve">Auto 1 (Drive Alone)</t>
  </si>
  <si>
    <t xml:space="preserve">Auto 2 (Driver with 1 Passenger)</t>
  </si>
  <si>
    <t xml:space="preserve">Auto 2+ (Driver with 1 or more Passengers)</t>
  </si>
  <si>
    <t xml:space="preserve">Auto 3+ (Driver with 2 or more Passengers)</t>
  </si>
  <si>
    <t xml:space="preserve">Walk</t>
  </si>
  <si>
    <t xml:space="preserve">WORK TRIPS</t>
  </si>
  <si>
    <t xml:space="preserve">OPPORTUNITIES</t>
  </si>
  <si>
    <t xml:space="preserve">SUM</t>
  </si>
  <si>
    <t xml:space="preserve">NONWORK TRIPS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</si>
</sst>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0"/>
    </font>
    <font>
      <sz val="10"/>
      <color rgb="FF000000"/>
      <name val="Arial"/>
      <family val="2"/>
    </font>
    <font>
      <sz val="13"/>
      <color rgb="FF00000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TRIP DISTRIBUTION MODEL</a:t>
            </a:r>
          </a:p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100" b="0" u="none" strike="noStrike">
                <a:solidFill>
                  <a:srgbClr val="000000"/>
                </a:solidFill>
                <a:uFillTx/>
                <a:latin typeface="Arial"/>
              </a:rPr>
              <a:t>WORK TRIPS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Sheet1!$A$72:$A$90</c:f>
              <c:strCach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strCache>
            </c:strRef>
          </c:cat>
          <c:val>
            <c:numRef>
              <c:f>Sheet1!$C$72:$C$90</c:f>
              <c:numCache>
                <c:formatCode>General</c:formatCode>
                <c:ptCount val="19"/>
                <c:pt idx="0">
                  <c:v>0.053933687</c:v>
                </c:pt>
                <c:pt idx="1">
                  <c:v>0.067272752</c:v>
                </c:pt>
                <c:pt idx="2">
                  <c:v>0.079579401</c:v>
                </c:pt>
                <c:pt idx="3">
                  <c:v>0.089278016</c:v>
                </c:pt>
                <c:pt idx="4">
                  <c:v>0.094988448</c:v>
                </c:pt>
                <c:pt idx="5">
                  <c:v>0.095847202</c:v>
                </c:pt>
                <c:pt idx="6">
                  <c:v>0.091721359</c:v>
                </c:pt>
                <c:pt idx="7">
                  <c:v>0.083242271</c:v>
                </c:pt>
                <c:pt idx="8">
                  <c:v>0.071647286</c:v>
                </c:pt>
                <c:pt idx="9">
                  <c:v>0.058484121</c:v>
                </c:pt>
                <c:pt idx="10">
                  <c:v>0.045275012</c:v>
                </c:pt>
                <c:pt idx="11">
                  <c:v>0.033240044</c:v>
                </c:pt>
                <c:pt idx="12">
                  <c:v>0.023144456</c:v>
                </c:pt>
                <c:pt idx="13">
                  <c:v>0.015283217</c:v>
                </c:pt>
                <c:pt idx="14">
                  <c:v>0.0095711683</c:v>
                </c:pt>
                <c:pt idx="15">
                  <c:v>0.0056845688</c:v>
                </c:pt>
                <c:pt idx="16">
                  <c:v>0.0032019349</c:v>
                </c:pt>
                <c:pt idx="17">
                  <c:v>0.0017104479</c:v>
                </c:pt>
                <c:pt idx="18">
                  <c:v>0.00086654198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FF00"/>
            </a:solidFill>
            <a:ln w="12600">
              <a:solidFill>
                <a:srgbClr val="00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Sheet1!$A$72:$A$90</c:f>
              <c:strCach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strCache>
            </c:strRef>
          </c:cat>
          <c:val>
            <c:numRef>
              <c:f>Sheet1!$D$72:$D$90</c:f>
              <c:numCache>
                <c:formatCode>General</c:formatCode>
                <c:ptCount val="19"/>
                <c:pt idx="0">
                  <c:v>0.05502322</c:v>
                </c:pt>
                <c:pt idx="1">
                  <c:v>0.1354105</c:v>
                </c:pt>
                <c:pt idx="2">
                  <c:v>0.14373014</c:v>
                </c:pt>
                <c:pt idx="3">
                  <c:v>0.13284866</c:v>
                </c:pt>
                <c:pt idx="4">
                  <c:v>0.11430457</c:v>
                </c:pt>
                <c:pt idx="5">
                  <c:v>0.0939493</c:v>
                </c:pt>
                <c:pt idx="6">
                  <c:v>0.07474887</c:v>
                </c:pt>
                <c:pt idx="7">
                  <c:v>0.058025264</c:v>
                </c:pt>
                <c:pt idx="8">
                  <c:v>0.044173267</c:v>
                </c:pt>
                <c:pt idx="9">
                  <c:v>0.033096323</c:v>
                </c:pt>
                <c:pt idx="10">
                  <c:v>0.024468359</c:v>
                </c:pt>
                <c:pt idx="11">
                  <c:v>0.017884863</c:v>
                </c:pt>
                <c:pt idx="12">
                  <c:v>0.012944434</c:v>
                </c:pt>
                <c:pt idx="13">
                  <c:v>0.009288014</c:v>
                </c:pt>
                <c:pt idx="14">
                  <c:v>0.0066134976</c:v>
                </c:pt>
                <c:pt idx="15">
                  <c:v>0.0046769134</c:v>
                </c:pt>
                <c:pt idx="16">
                  <c:v>0.0032870084</c:v>
                </c:pt>
                <c:pt idx="17">
                  <c:v>0.0022972272</c:v>
                </c:pt>
                <c:pt idx="18">
                  <c:v>0.0015972798</c:v>
                </c:pt>
              </c:numCache>
            </c:numRef>
          </c:val>
          <c:smooth val="0"/>
        </c:ser>
        <c:ser>
          <c:idx val="2"/>
          <c:order val="2"/>
          <c:spPr>
            <a:solidFill>
              <a:srgbClr val="0000FF"/>
            </a:solidFill>
            <a:ln w="12600">
              <a:solidFill>
                <a:srgbClr val="0000FF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Sheet1!$A$72:$A$90</c:f>
              <c:strCach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strCache>
            </c:strRef>
          </c:cat>
          <c:val>
            <c:numRef>
              <c:f>Sheet1!$E$72:$E$90</c:f>
              <c:numCache>
                <c:formatCode>General</c:formatCode>
                <c:ptCount val="19"/>
                <c:pt idx="0">
                  <c:v>0.14808039</c:v>
                </c:pt>
                <c:pt idx="1">
                  <c:v>0.18223796</c:v>
                </c:pt>
                <c:pt idx="2">
                  <c:v>0.15850068</c:v>
                </c:pt>
                <c:pt idx="3">
                  <c:v>0.13020314</c:v>
                </c:pt>
                <c:pt idx="4">
                  <c:v>0.10384208</c:v>
                </c:pt>
                <c:pt idx="5">
                  <c:v>0.081268239</c:v>
                </c:pt>
                <c:pt idx="6">
                  <c:v>0.062753858</c:v>
                </c:pt>
                <c:pt idx="7">
                  <c:v>0.047967151</c:v>
                </c:pt>
                <c:pt idx="8">
                  <c:v>0.036370661</c:v>
                </c:pt>
                <c:pt idx="9">
                  <c:v>0.027396885</c:v>
                </c:pt>
                <c:pt idx="10">
                  <c:v>0.020523863</c:v>
                </c:pt>
                <c:pt idx="11">
                  <c:v>0.015302985</c:v>
                </c:pt>
                <c:pt idx="12">
                  <c:v>0.011363841</c:v>
                </c:pt>
                <c:pt idx="13">
                  <c:v>0.0084085881</c:v>
                </c:pt>
                <c:pt idx="14">
                  <c:v>0.0062022017</c:v>
                </c:pt>
                <c:pt idx="15">
                  <c:v>0.0045618243</c:v>
                </c:pt>
                <c:pt idx="16">
                  <c:v>0.003346742</c:v>
                </c:pt>
                <c:pt idx="17">
                  <c:v>0.002449624</c:v>
                </c:pt>
                <c:pt idx="18">
                  <c:v>0.0017891954</c:v>
                </c:pt>
              </c:numCache>
            </c:numRef>
          </c:val>
          <c:smooth val="0"/>
        </c:ser>
        <c:ser>
          <c:idx val="3"/>
          <c:order val="3"/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Sheet1!$A$72:$A$90</c:f>
              <c:strCach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strCache>
            </c:strRef>
          </c:cat>
          <c:val>
            <c:numRef>
              <c:f>Sheet1!$F$72:$F$90</c:f>
              <c:numCache>
                <c:formatCode>General</c:formatCode>
                <c:ptCount val="19"/>
                <c:pt idx="0">
                  <c:v>0.38022199</c:v>
                </c:pt>
                <c:pt idx="1">
                  <c:v>0.25743192</c:v>
                </c:pt>
                <c:pt idx="2">
                  <c:v>0.17429605</c:v>
                </c:pt>
                <c:pt idx="3">
                  <c:v>0.11800834</c:v>
                </c:pt>
                <c:pt idx="4">
                  <c:v>0.079898356</c:v>
                </c:pt>
                <c:pt idx="5">
                  <c:v>0.054095731</c:v>
                </c:pt>
                <c:pt idx="6">
                  <c:v>0.036625887</c:v>
                </c:pt>
                <c:pt idx="7">
                  <c:v>0.024797808</c:v>
                </c:pt>
                <c:pt idx="8">
                  <c:v>0.016789527</c:v>
                </c:pt>
                <c:pt idx="9">
                  <c:v>0.011367464</c:v>
                </c:pt>
                <c:pt idx="10">
                  <c:v>0.0076964199</c:v>
                </c:pt>
                <c:pt idx="11">
                  <c:v>0.005210914</c:v>
                </c:pt>
                <c:pt idx="12">
                  <c:v>0.0035280852</c:v>
                </c:pt>
                <c:pt idx="13">
                  <c:v>0.0023887143</c:v>
                </c:pt>
                <c:pt idx="14">
                  <c:v>0.0016172955</c:v>
                </c:pt>
                <c:pt idx="15">
                  <c:v>0.001095001</c:v>
                </c:pt>
                <c:pt idx="16">
                  <c:v>0.00074137796</c:v>
                </c:pt>
                <c:pt idx="17">
                  <c:v>0.00050195504</c:v>
                </c:pt>
                <c:pt idx="18">
                  <c:v>0.00033985211</c:v>
                </c:pt>
              </c:numCache>
            </c:numRef>
          </c:val>
          <c:smooth val="0"/>
        </c:ser>
        <c:ser>
          <c:idx val="4"/>
          <c:order val="4"/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Sheet1!$A$72:$A$90</c:f>
              <c:strCach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strCache>
            </c:strRef>
          </c:cat>
          <c:val>
            <c:numRef>
              <c:f>Sheet1!$G$72:$G$90</c:f>
              <c:numCache>
                <c:formatCode>General</c:formatCode>
                <c:ptCount val="19"/>
                <c:pt idx="0">
                  <c:v>0.35700696</c:v>
                </c:pt>
                <c:pt idx="1">
                  <c:v>0.24659696</c:v>
                </c:pt>
                <c:pt idx="2">
                  <c:v>0.17033299</c:v>
                </c:pt>
                <c:pt idx="3">
                  <c:v>0.11765484</c:v>
                </c:pt>
                <c:pt idx="4">
                  <c:v>0.081268239</c:v>
                </c:pt>
                <c:pt idx="5">
                  <c:v>0.056134763</c:v>
                </c:pt>
                <c:pt idx="6">
                  <c:v>0.038774208</c:v>
                </c:pt>
                <c:pt idx="7">
                  <c:v>0.026782676</c:v>
                </c:pt>
                <c:pt idx="8">
                  <c:v>0.018499714</c:v>
                </c:pt>
                <c:pt idx="9">
                  <c:v>0.012778388</c:v>
                </c:pt>
                <c:pt idx="10">
                  <c:v>0.008826471</c:v>
                </c:pt>
                <c:pt idx="11">
                  <c:v>0.0060967466</c:v>
                </c:pt>
                <c:pt idx="12">
                  <c:v>0.0042112322</c:v>
                </c:pt>
                <c:pt idx="13">
                  <c:v>0.0029088426</c:v>
                </c:pt>
                <c:pt idx="14">
                  <c:v>0.0020092375</c:v>
                </c:pt>
                <c:pt idx="15">
                  <c:v>0.0013878493</c:v>
                </c:pt>
                <c:pt idx="16">
                  <c:v>0.00095863515</c:v>
                </c:pt>
                <c:pt idx="17">
                  <c:v>0.00066216221</c:v>
                </c:pt>
                <c:pt idx="18">
                  <c:v>0.00045737817</c:v>
                </c:pt>
              </c:numCache>
            </c:numRef>
          </c:val>
          <c:smooth val="0"/>
        </c:ser>
        <c:ser>
          <c:idx val="5"/>
          <c:order val="5"/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Sheet1!$A$72:$A$90</c:f>
              <c:strCach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strCache>
            </c:strRef>
          </c:cat>
          <c:val>
            <c:numRef>
              <c:f>Sheet1!$H$72:$H$90</c:f>
              <c:numCache>
                <c:formatCode>General</c:formatCode>
                <c:ptCount val="19"/>
                <c:pt idx="0">
                  <c:v>0.26982006</c:v>
                </c:pt>
                <c:pt idx="1">
                  <c:v>0.20189652</c:v>
                </c:pt>
                <c:pt idx="2">
                  <c:v>0.15107181</c:v>
                </c:pt>
                <c:pt idx="3">
                  <c:v>0.11304153</c:v>
                </c:pt>
                <c:pt idx="4">
                  <c:v>0.084584859</c:v>
                </c:pt>
                <c:pt idx="5">
                  <c:v>0.063291768</c:v>
                </c:pt>
                <c:pt idx="6">
                  <c:v>0.047358924</c:v>
                </c:pt>
                <c:pt idx="7">
                  <c:v>0.035436958</c:v>
                </c:pt>
                <c:pt idx="8">
                  <c:v>0.026516184</c:v>
                </c:pt>
                <c:pt idx="9">
                  <c:v>0.019841095</c:v>
                </c:pt>
                <c:pt idx="10">
                  <c:v>0.014846368</c:v>
                </c:pt>
                <c:pt idx="11">
                  <c:v>0.011108997</c:v>
                </c:pt>
                <c:pt idx="12">
                  <c:v>0.0083124574</c:v>
                </c:pt>
                <c:pt idx="13">
                  <c:v>0.006219909</c:v>
                </c:pt>
                <c:pt idx="14">
                  <c:v>0.0046541313</c:v>
                </c:pt>
                <c:pt idx="15">
                  <c:v>0.0034825169</c:v>
                </c:pt>
                <c:pt idx="16">
                  <c:v>0.0026058405</c:v>
                </c:pt>
                <c:pt idx="17">
                  <c:v>0.0019498555</c:v>
                </c:pt>
                <c:pt idx="18">
                  <c:v>0.0014590058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8680366"/>
        <c:axId val="81537325"/>
      </c:lineChart>
      <c:catAx>
        <c:axId val="186803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TIME (in 5 minute cohorts)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1537325"/>
        <c:crossesAt val="0"/>
        <c:auto val="1"/>
        <c:lblAlgn val="ctr"/>
        <c:lblOffset val="100"/>
        <c:noMultiLvlLbl val="0"/>
      </c:catAx>
      <c:valAx>
        <c:axId val="81537325"/>
        <c:scaling>
          <c:orientation val="minMax"/>
          <c:max val="0.4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Relative Probability per Opportunity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8680366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plotVisOnly val="1"/>
    <c:dispBlanksAs val="gap"/>
  </c:chart>
  <c:spPr>
    <a:noFill/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TRIP DISTRIBUTION MODEL</a:t>
            </a:r>
          </a:p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100" b="0" u="none" strike="noStrike">
                <a:solidFill>
                  <a:srgbClr val="000000"/>
                </a:solidFill>
                <a:uFillTx/>
                <a:latin typeface="Arial"/>
              </a:rPr>
              <a:t>NONWORK TRIPS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Sheet1!$A$97:$A$109</c:f>
              <c:strCache>
                <c:ptCount val="1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</c:strCache>
            </c:strRef>
          </c:cat>
          <c:val>
            <c:numRef>
              <c:f>Sheet1!$C$97:$C$109</c:f>
              <c:numCache>
                <c:formatCode>General</c:formatCode>
                <c:ptCount val="13"/>
                <c:pt idx="0">
                  <c:v>0.67705687</c:v>
                </c:pt>
                <c:pt idx="1">
                  <c:v>0.31555414</c:v>
                </c:pt>
                <c:pt idx="2">
                  <c:v>0.15202657</c:v>
                </c:pt>
                <c:pt idx="3">
                  <c:v>0.075711516</c:v>
                </c:pt>
                <c:pt idx="4">
                  <c:v>0.038976359</c:v>
                </c:pt>
                <c:pt idx="5">
                  <c:v>0.02074137</c:v>
                </c:pt>
                <c:pt idx="6">
                  <c:v>0.011409602</c:v>
                </c:pt>
                <c:pt idx="7">
                  <c:v>0.006487844</c:v>
                </c:pt>
                <c:pt idx="8">
                  <c:v>0.00381353</c:v>
                </c:pt>
                <c:pt idx="9">
                  <c:v>0.0023171322</c:v>
                </c:pt>
                <c:pt idx="10">
                  <c:v>0.0014553629</c:v>
                </c:pt>
                <c:pt idx="11">
                  <c:v>0.0009449061</c:v>
                </c:pt>
                <c:pt idx="12">
                  <c:v>0.00063416588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FF00"/>
            </a:solidFill>
            <a:ln w="12600">
              <a:solidFill>
                <a:srgbClr val="00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Sheet1!$A$97:$A$109</c:f>
              <c:strCache>
                <c:ptCount val="1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</c:strCache>
            </c:strRef>
          </c:cat>
          <c:val>
            <c:numRef>
              <c:f>Sheet1!$D$97:$D$109</c:f>
              <c:numCache>
                <c:formatCode>General</c:formatCode>
                <c:ptCount val="13"/>
                <c:pt idx="0">
                  <c:v>0.69767633</c:v>
                </c:pt>
                <c:pt idx="1">
                  <c:v>0.31948339</c:v>
                </c:pt>
                <c:pt idx="2">
                  <c:v>0.15195057</c:v>
                </c:pt>
                <c:pt idx="3">
                  <c:v>0.075061312</c:v>
                </c:pt>
                <c:pt idx="4">
                  <c:v>0.038511438</c:v>
                </c:pt>
                <c:pt idx="5">
                  <c:v>0.02052216</c:v>
                </c:pt>
                <c:pt idx="6">
                  <c:v>0.011358374</c:v>
                </c:pt>
                <c:pt idx="7">
                  <c:v>0.0065293362</c:v>
                </c:pt>
                <c:pt idx="8">
                  <c:v>0.0038983574</c:v>
                </c:pt>
                <c:pt idx="9">
                  <c:v>0.0024174307</c:v>
                </c:pt>
                <c:pt idx="10">
                  <c:v>0.0015569913</c:v>
                </c:pt>
                <c:pt idx="11">
                  <c:v>0.0010415451</c:v>
                </c:pt>
                <c:pt idx="12">
                  <c:v>0.00072365196</c:v>
                </c:pt>
              </c:numCache>
            </c:numRef>
          </c:val>
          <c:smooth val="0"/>
        </c:ser>
        <c:ser>
          <c:idx val="2"/>
          <c:order val="2"/>
          <c:spPr>
            <a:solidFill>
              <a:srgbClr val="0000FF"/>
            </a:solidFill>
            <a:ln w="12600">
              <a:solidFill>
                <a:srgbClr val="0000FF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Sheet1!$A$97:$A$109</c:f>
              <c:strCache>
                <c:ptCount val="1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</c:strCache>
            </c:strRef>
          </c:cat>
          <c:val>
            <c:numRef>
              <c:f>Sheet1!$E$97:$E$109</c:f>
              <c:numCache>
                <c:formatCode>General</c:formatCode>
                <c:ptCount val="13"/>
                <c:pt idx="0">
                  <c:v>0.2671353</c:v>
                </c:pt>
                <c:pt idx="1">
                  <c:v>0.19301256</c:v>
                </c:pt>
                <c:pt idx="2">
                  <c:v>0.13945686</c:v>
                </c:pt>
                <c:pt idx="3">
                  <c:v>0.10076139</c:v>
                </c:pt>
                <c:pt idx="4">
                  <c:v>0.072802863</c:v>
                </c:pt>
                <c:pt idx="5">
                  <c:v>0.05260206</c:v>
                </c:pt>
                <c:pt idx="6">
                  <c:v>0.038006427</c:v>
                </c:pt>
                <c:pt idx="7">
                  <c:v>0.027460683</c:v>
                </c:pt>
                <c:pt idx="8">
                  <c:v>0.019841095</c:v>
                </c:pt>
                <c:pt idx="9">
                  <c:v>0.014335734</c:v>
                </c:pt>
                <c:pt idx="10">
                  <c:v>0.01035796</c:v>
                </c:pt>
                <c:pt idx="11">
                  <c:v>0.0074839092</c:v>
                </c:pt>
                <c:pt idx="12">
                  <c:v>0.0054073291</c:v>
                </c:pt>
              </c:numCache>
            </c:numRef>
          </c:val>
          <c:smooth val="0"/>
        </c:ser>
        <c:ser>
          <c:idx val="3"/>
          <c:order val="3"/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Sheet1!$A$97:$A$109</c:f>
              <c:strCache>
                <c:ptCount val="1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</c:strCache>
            </c:strRef>
          </c:cat>
          <c:val>
            <c:numRef>
              <c:f>Sheet1!$F$97:$F$109</c:f>
              <c:numCache>
                <c:formatCode>General</c:formatCode>
                <c:ptCount val="13"/>
                <c:pt idx="0">
                  <c:v>0.83027359</c:v>
                </c:pt>
                <c:pt idx="1">
                  <c:v>0.32922957</c:v>
                </c:pt>
                <c:pt idx="2">
                  <c:v>0.13054987</c:v>
                </c:pt>
                <c:pt idx="3">
                  <c:v>0.051767124</c:v>
                </c:pt>
                <c:pt idx="4">
                  <c:v>0.020527291</c:v>
                </c:pt>
                <c:pt idx="5">
                  <c:v>0.0081397159</c:v>
                </c:pt>
                <c:pt idx="6">
                  <c:v>0.0032276531</c:v>
                </c:pt>
                <c:pt idx="7">
                  <c:v>0.0012798659</c:v>
                </c:pt>
                <c:pt idx="8">
                  <c:v>0.00050750703</c:v>
                </c:pt>
                <c:pt idx="9">
                  <c:v>0.00020124248</c:v>
                </c:pt>
                <c:pt idx="10">
                  <c:v>7.9798967E-005</c:v>
                </c:pt>
                <c:pt idx="11">
                  <c:v>3.1642798E-005</c:v>
                </c:pt>
                <c:pt idx="12">
                  <c:v>1.2547363E-005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2874710"/>
        <c:axId val="53811879"/>
      </c:lineChart>
      <c:catAx>
        <c:axId val="828747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TIME (in 5 minute cohorts)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3811879"/>
        <c:crossesAt val="0"/>
        <c:auto val="1"/>
        <c:lblAlgn val="ctr"/>
        <c:lblOffset val="100"/>
        <c:noMultiLvlLbl val="0"/>
      </c:catAx>
      <c:valAx>
        <c:axId val="53811879"/>
        <c:scaling>
          <c:orientation val="minMax"/>
          <c:max val="0.4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Relative Probability per Opportunity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2874710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plotVisOnly val="1"/>
    <c:dispBlanksAs val="gap"/>
  </c:chart>
  <c:spPr>
    <a:noFill/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TRIP DISTRIBUTION MODEL</a:t>
            </a:r>
          </a:p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100" b="0" u="none" strike="noStrike">
                <a:solidFill>
                  <a:srgbClr val="000000"/>
                </a:solidFill>
                <a:uFillTx/>
                <a:latin typeface="Arial"/>
              </a:rPr>
              <a:t>WORK TRIPS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Sheet1!$W$72:$W$90</c:f>
              <c:strCach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strCache>
            </c:strRef>
          </c:cat>
          <c:val>
            <c:numRef>
              <c:f>Sheet1!$X$72:$X$90</c:f>
              <c:numCache>
                <c:formatCode>General</c:formatCode>
                <c:ptCount val="19"/>
                <c:pt idx="0">
                  <c:v>0.0047661628</c:v>
                </c:pt>
                <c:pt idx="1">
                  <c:v>0.017834839</c:v>
                </c:pt>
                <c:pt idx="2">
                  <c:v>0.035162474</c:v>
                </c:pt>
                <c:pt idx="3">
                  <c:v>0.055226984</c:v>
                </c:pt>
                <c:pt idx="4">
                  <c:v>0.075547841</c:v>
                </c:pt>
                <c:pt idx="5">
                  <c:v>0.093171027</c:v>
                </c:pt>
                <c:pt idx="6">
                  <c:v>0.10537136</c:v>
                </c:pt>
                <c:pt idx="7">
                  <c:v>0.11034278</c:v>
                </c:pt>
                <c:pt idx="8">
                  <c:v>0.10763597</c:v>
                </c:pt>
                <c:pt idx="9">
                  <c:v>0.098197476</c:v>
                </c:pt>
                <c:pt idx="10">
                  <c:v>0.084020765</c:v>
                </c:pt>
                <c:pt idx="11">
                  <c:v>0.067561328</c:v>
                </c:pt>
                <c:pt idx="12">
                  <c:v>0.051132349</c:v>
                </c:pt>
                <c:pt idx="13">
                  <c:v>0.03646593</c:v>
                </c:pt>
                <c:pt idx="14">
                  <c:v>0.024528541</c:v>
                </c:pt>
                <c:pt idx="15">
                  <c:v>0.015572846</c:v>
                </c:pt>
                <c:pt idx="16">
                  <c:v>0.0093375984</c:v>
                </c:pt>
                <c:pt idx="17">
                  <c:v>0.0052903774</c:v>
                </c:pt>
                <c:pt idx="18">
                  <c:v>0.0028333491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FF00"/>
            </a:solidFill>
            <a:ln w="12600">
              <a:solidFill>
                <a:srgbClr val="00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Sheet1!$W$72:$W$90</c:f>
              <c:strCach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strCache>
            </c:strRef>
          </c:cat>
          <c:val>
            <c:numRef>
              <c:f>Sheet1!$Y$72:$Y$90</c:f>
              <c:numCache>
                <c:formatCode>General</c:formatCode>
                <c:ptCount val="19"/>
                <c:pt idx="0">
                  <c:v>0.0058052128</c:v>
                </c:pt>
                <c:pt idx="1">
                  <c:v>0.042859366</c:v>
                </c:pt>
                <c:pt idx="2">
                  <c:v>0.075821087</c:v>
                </c:pt>
                <c:pt idx="3">
                  <c:v>0.098113182</c:v>
                </c:pt>
                <c:pt idx="4">
                  <c:v>0.10853711</c:v>
                </c:pt>
                <c:pt idx="5">
                  <c:v>0.1090331</c:v>
                </c:pt>
                <c:pt idx="6">
                  <c:v>0.10252272</c:v>
                </c:pt>
                <c:pt idx="7">
                  <c:v>0.091829142</c:v>
                </c:pt>
                <c:pt idx="8">
                  <c:v>0.079228346</c:v>
                </c:pt>
                <c:pt idx="9">
                  <c:v>0.066344587</c:v>
                </c:pt>
                <c:pt idx="10">
                  <c:v>0.054212106</c:v>
                </c:pt>
                <c:pt idx="11">
                  <c:v>0.043399587</c:v>
                </c:pt>
                <c:pt idx="12">
                  <c:v>0.034142492</c:v>
                </c:pt>
                <c:pt idx="13">
                  <c:v>0.026458107</c:v>
                </c:pt>
                <c:pt idx="14">
                  <c:v>0.020234913</c:v>
                </c:pt>
                <c:pt idx="15">
                  <c:v>0.015296539</c:v>
                </c:pt>
                <c:pt idx="16">
                  <c:v>0.011444238</c:v>
                </c:pt>
                <c:pt idx="17">
                  <c:v>0.0084828958</c:v>
                </c:pt>
                <c:pt idx="18">
                  <c:v>0.0062352642</c:v>
                </c:pt>
              </c:numCache>
            </c:numRef>
          </c:val>
          <c:smooth val="0"/>
        </c:ser>
        <c:ser>
          <c:idx val="2"/>
          <c:order val="2"/>
          <c:spPr>
            <a:solidFill>
              <a:srgbClr val="0000FF"/>
            </a:solidFill>
            <a:ln w="12600">
              <a:solidFill>
                <a:srgbClr val="0000FF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Sheet1!$W$72:$W$90</c:f>
              <c:strCach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strCache>
            </c:strRef>
          </c:cat>
          <c:val>
            <c:numRef>
              <c:f>Sheet1!$Z$72:$Z$90</c:f>
              <c:numCache>
                <c:formatCode>General</c:formatCode>
                <c:ptCount val="19"/>
                <c:pt idx="0">
                  <c:v>0.016867269</c:v>
                </c:pt>
                <c:pt idx="1">
                  <c:v>0.06227408</c:v>
                </c:pt>
                <c:pt idx="2">
                  <c:v>0.09027102</c:v>
                </c:pt>
                <c:pt idx="3">
                  <c:v>0.10381658</c:v>
                </c:pt>
                <c:pt idx="4">
                  <c:v>0.10645428</c:v>
                </c:pt>
                <c:pt idx="5">
                  <c:v>0.10182649</c:v>
                </c:pt>
                <c:pt idx="6">
                  <c:v>0.092924666</c:v>
                </c:pt>
                <c:pt idx="7">
                  <c:v>0.081956313</c:v>
                </c:pt>
                <c:pt idx="8">
                  <c:v>0.070428323</c:v>
                </c:pt>
                <c:pt idx="9">
                  <c:v>0.059292808</c:v>
                </c:pt>
                <c:pt idx="10">
                  <c:v>0.049093684</c:v>
                </c:pt>
                <c:pt idx="11">
                  <c:v>0.040091398</c:v>
                </c:pt>
                <c:pt idx="12">
                  <c:v>0.032360288</c:v>
                </c:pt>
                <c:pt idx="13">
                  <c:v>0.025860331</c:v>
                </c:pt>
                <c:pt idx="14">
                  <c:v>0.020487601</c:v>
                </c:pt>
                <c:pt idx="15">
                  <c:v>0.016108217</c:v>
                </c:pt>
                <c:pt idx="16">
                  <c:v>0.01258008</c:v>
                </c:pt>
                <c:pt idx="17">
                  <c:v>0.0097659548</c:v>
                </c:pt>
                <c:pt idx="18">
                  <c:v>0.0075406142</c:v>
                </c:pt>
              </c:numCache>
            </c:numRef>
          </c:val>
          <c:smooth val="0"/>
        </c:ser>
        <c:ser>
          <c:idx val="3"/>
          <c:order val="3"/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Sheet1!$W$72:$W$90</c:f>
              <c:strCach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strCache>
            </c:strRef>
          </c:cat>
          <c:val>
            <c:numRef>
              <c:f>Sheet1!$AA$72:$AA$90</c:f>
              <c:numCache>
                <c:formatCode>General</c:formatCode>
                <c:ptCount val="19"/>
                <c:pt idx="0">
                  <c:v>0.062502277</c:v>
                </c:pt>
                <c:pt idx="1">
                  <c:v>0.12695279</c:v>
                </c:pt>
                <c:pt idx="2">
                  <c:v>0.1432571</c:v>
                </c:pt>
                <c:pt idx="3">
                  <c:v>0.13579048</c:v>
                </c:pt>
                <c:pt idx="4">
                  <c:v>0.11820585</c:v>
                </c:pt>
                <c:pt idx="5">
                  <c:v>0.097816987</c:v>
                </c:pt>
                <c:pt idx="6">
                  <c:v>0.078269057</c:v>
                </c:pt>
                <c:pt idx="7">
                  <c:v>0.061145311</c:v>
                </c:pt>
                <c:pt idx="8">
                  <c:v>0.046918701</c:v>
                </c:pt>
                <c:pt idx="9">
                  <c:v>0.035503879</c:v>
                </c:pt>
                <c:pt idx="10">
                  <c:v>0.026568477</c:v>
                </c:pt>
                <c:pt idx="11">
                  <c:v>0.019701548</c:v>
                </c:pt>
                <c:pt idx="12">
                  <c:v>0.014498987</c:v>
                </c:pt>
                <c:pt idx="13">
                  <c:v>0.01060197</c:v>
                </c:pt>
                <c:pt idx="14">
                  <c:v>0.0077098506</c:v>
                </c:pt>
                <c:pt idx="15">
                  <c:v>0.0055800079</c:v>
                </c:pt>
                <c:pt idx="16">
                  <c:v>0.0040217235</c:v>
                </c:pt>
                <c:pt idx="17">
                  <c:v>0.002887962</c:v>
                </c:pt>
                <c:pt idx="18">
                  <c:v>0.0020670467</c:v>
                </c:pt>
              </c:numCache>
            </c:numRef>
          </c:val>
          <c:smooth val="0"/>
        </c:ser>
        <c:ser>
          <c:idx val="4"/>
          <c:order val="4"/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Sheet1!$W$72:$W$90</c:f>
              <c:strCach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strCache>
            </c:strRef>
          </c:cat>
          <c:val>
            <c:numRef>
              <c:f>Sheet1!$AB$72:$AB$90</c:f>
              <c:numCache>
                <c:formatCode>General</c:formatCode>
                <c:ptCount val="19"/>
                <c:pt idx="0">
                  <c:v>0.056971092</c:v>
                </c:pt>
                <c:pt idx="1">
                  <c:v>0.11805567</c:v>
                </c:pt>
                <c:pt idx="2">
                  <c:v>0.1359085</c:v>
                </c:pt>
                <c:pt idx="3">
                  <c:v>0.13142734</c:v>
                </c:pt>
                <c:pt idx="4">
                  <c:v>0.11671891</c:v>
                </c:pt>
                <c:pt idx="5">
                  <c:v>0.098537704</c:v>
                </c:pt>
                <c:pt idx="6">
                  <c:v>0.080438534</c:v>
                </c:pt>
                <c:pt idx="7">
                  <c:v>0.064109604</c:v>
                </c:pt>
                <c:pt idx="8">
                  <c:v>0.050187065</c:v>
                </c:pt>
                <c:pt idx="9">
                  <c:v>0.038744274</c:v>
                </c:pt>
                <c:pt idx="10">
                  <c:v>0.029579052</c:v>
                </c:pt>
                <c:pt idx="11">
                  <c:v>0.022377102</c:v>
                </c:pt>
                <c:pt idx="12">
                  <c:v>0.016800688</c:v>
                </c:pt>
                <c:pt idx="13">
                  <c:v>0.012533197</c:v>
                </c:pt>
                <c:pt idx="14">
                  <c:v>0.0092983765</c:v>
                </c:pt>
                <c:pt idx="15">
                  <c:v>0.0068656533</c:v>
                </c:pt>
                <c:pt idx="16">
                  <c:v>0.0050483</c:v>
                </c:pt>
                <c:pt idx="17">
                  <c:v>0.0036983695</c:v>
                </c:pt>
                <c:pt idx="18">
                  <c:v>0.0027005674</c:v>
                </c:pt>
              </c:numCache>
            </c:numRef>
          </c:val>
          <c:smooth val="0"/>
        </c:ser>
        <c:ser>
          <c:idx val="5"/>
          <c:order val="5"/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Sheet1!$W$72:$W$90</c:f>
              <c:strCach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strCache>
            </c:strRef>
          </c:cat>
          <c:val>
            <c:numRef>
              <c:f>Sheet1!$AC$72:$AC$90</c:f>
              <c:numCache>
                <c:formatCode>General</c:formatCode>
                <c:ptCount val="19"/>
                <c:pt idx="0">
                  <c:v>0.037222786</c:v>
                </c:pt>
                <c:pt idx="1">
                  <c:v>0.083557364</c:v>
                </c:pt>
                <c:pt idx="2">
                  <c:v>0.10420489</c:v>
                </c:pt>
                <c:pt idx="3">
                  <c:v>0.10916181</c:v>
                </c:pt>
                <c:pt idx="4">
                  <c:v>0.10501946</c:v>
                </c:pt>
                <c:pt idx="5">
                  <c:v>0.096044956</c:v>
                </c:pt>
                <c:pt idx="6">
                  <c:v>0.084933658</c:v>
                </c:pt>
                <c:pt idx="7">
                  <c:v>0.07333011</c:v>
                </c:pt>
                <c:pt idx="8">
                  <c:v>0.062186283</c:v>
                </c:pt>
                <c:pt idx="9">
                  <c:v>0.052006051</c:v>
                </c:pt>
                <c:pt idx="10">
                  <c:v>0.043010469</c:v>
                </c:pt>
                <c:pt idx="11">
                  <c:v>0.03524823</c:v>
                </c:pt>
                <c:pt idx="12">
                  <c:v>0.028668442</c:v>
                </c:pt>
                <c:pt idx="13">
                  <c:v>0.023167675</c:v>
                </c:pt>
                <c:pt idx="14">
                  <c:v>0.01861964</c:v>
                </c:pt>
                <c:pt idx="15">
                  <c:v>0.014893253</c:v>
                </c:pt>
                <c:pt idx="16">
                  <c:v>0.011863052</c:v>
                </c:pt>
                <c:pt idx="17">
                  <c:v>0.0094146705</c:v>
                </c:pt>
                <c:pt idx="18">
                  <c:v>0.0074472066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7492172"/>
        <c:axId val="42171648"/>
      </c:lineChart>
      <c:catAx>
        <c:axId val="374921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TIME (in 5 minute cohorts)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2171648"/>
        <c:crossesAt val="0"/>
        <c:auto val="1"/>
        <c:lblAlgn val="ctr"/>
        <c:lblOffset val="100"/>
        <c:noMultiLvlLbl val="0"/>
      </c:catAx>
      <c:valAx>
        <c:axId val="4217164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Relative Probability 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7492172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plotVisOnly val="1"/>
    <c:dispBlanksAs val="gap"/>
  </c:chart>
  <c:spPr>
    <a:noFill/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TRIP DISTRIBUTION MODEL</a:t>
            </a:r>
          </a:p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100" b="0" u="none" strike="noStrike">
                <a:solidFill>
                  <a:srgbClr val="000000"/>
                </a:solidFill>
                <a:uFillTx/>
                <a:latin typeface="Arial"/>
              </a:rPr>
              <a:t>OPPORTUNITIES PER TIME RING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Sheet1!$W$72:$W$90</c:f>
              <c:strCach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strCache>
            </c:strRef>
          </c:cat>
          <c:val>
            <c:numRef>
              <c:f>Sheet1!$V$72:$V$90</c:f>
              <c:numCache>
                <c:formatCode>General</c:formatCode>
                <c:ptCount val="19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  <c:pt idx="10">
                  <c:v>21</c:v>
                </c:pt>
                <c:pt idx="11">
                  <c:v>23</c:v>
                </c:pt>
                <c:pt idx="12">
                  <c:v>25</c:v>
                </c:pt>
                <c:pt idx="13">
                  <c:v>27</c:v>
                </c:pt>
                <c:pt idx="14">
                  <c:v>29</c:v>
                </c:pt>
                <c:pt idx="15">
                  <c:v>31</c:v>
                </c:pt>
                <c:pt idx="16">
                  <c:v>33</c:v>
                </c:pt>
                <c:pt idx="17">
                  <c:v>35</c:v>
                </c:pt>
                <c:pt idx="18">
                  <c:v>37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4239720"/>
        <c:axId val="60496758"/>
      </c:lineChart>
      <c:catAx>
        <c:axId val="442397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TIME (in 5 minute cohorts)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0496758"/>
        <c:crossesAt val="0"/>
        <c:auto val="1"/>
        <c:lblAlgn val="ctr"/>
        <c:lblOffset val="100"/>
        <c:noMultiLvlLbl val="0"/>
      </c:catAx>
      <c:valAx>
        <c:axId val="6049675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OPPORTUNITIES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4239720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plotVisOnly val="1"/>
    <c:dispBlanksAs val="gap"/>
  </c:chart>
  <c:spPr>
    <a:noFill/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TRIP DISTRIBUTION MODEL</a:t>
            </a:r>
          </a:p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100" b="0" u="none" strike="noStrike">
                <a:solidFill>
                  <a:srgbClr val="000000"/>
                </a:solidFill>
                <a:uFillTx/>
                <a:latin typeface="Arial"/>
              </a:rPr>
              <a:t>NONWORK TRIPS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Sheet1!$W$97:$W$115</c:f>
              <c:strCach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strCache>
            </c:strRef>
          </c:cat>
          <c:val>
            <c:numRef>
              <c:f>Sheet1!$X$97:$X$115</c:f>
              <c:numCache>
                <c:formatCode>General</c:formatCode>
                <c:ptCount val="19"/>
                <c:pt idx="0">
                  <c:v>0.17102198</c:v>
                </c:pt>
                <c:pt idx="1">
                  <c:v>0.23912331</c:v>
                </c:pt>
                <c:pt idx="2">
                  <c:v>0.19200665</c:v>
                </c:pt>
                <c:pt idx="3">
                  <c:v>0.13387108</c:v>
                </c:pt>
                <c:pt idx="4">
                  <c:v>0.088607513</c:v>
                </c:pt>
                <c:pt idx="5">
                  <c:v>0.0576311</c:v>
                </c:pt>
                <c:pt idx="6">
                  <c:v>0.037466284</c:v>
                </c:pt>
                <c:pt idx="7">
                  <c:v>0.024582069</c:v>
                </c:pt>
                <c:pt idx="8">
                  <c:v>0.016375813</c:v>
                </c:pt>
                <c:pt idx="9">
                  <c:v>0.011120676</c:v>
                </c:pt>
                <c:pt idx="10">
                  <c:v>0.0077200012</c:v>
                </c:pt>
                <c:pt idx="11">
                  <c:v>0.0054896324</c:v>
                </c:pt>
                <c:pt idx="12">
                  <c:v>0.0040046969</c:v>
                </c:pt>
                <c:pt idx="13">
                  <c:v>0.003000575</c:v>
                </c:pt>
                <c:pt idx="14">
                  <c:v>0.0023112486</c:v>
                </c:pt>
                <c:pt idx="15">
                  <c:v>0.0018315348</c:v>
                </c:pt>
                <c:pt idx="16">
                  <c:v>0.0014940636</c:v>
                </c:pt>
                <c:pt idx="17">
                  <c:v>0.0012552254</c:v>
                </c:pt>
                <c:pt idx="18">
                  <c:v>0.0010865527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FF00"/>
            </a:solidFill>
            <a:ln w="12600">
              <a:solidFill>
                <a:srgbClr val="00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Sheet1!$W$97:$W$115</c:f>
              <c:strCach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strCache>
            </c:strRef>
          </c:cat>
          <c:val>
            <c:numRef>
              <c:f>Sheet1!$Y$97:$Y$115</c:f>
              <c:numCache>
                <c:formatCode>General</c:formatCode>
                <c:ptCount val="19"/>
                <c:pt idx="0">
                  <c:v>0.17428222</c:v>
                </c:pt>
                <c:pt idx="1">
                  <c:v>0.23942452</c:v>
                </c:pt>
                <c:pt idx="2">
                  <c:v>0.18978917</c:v>
                </c:pt>
                <c:pt idx="3">
                  <c:v>0.13125422</c:v>
                </c:pt>
                <c:pt idx="4">
                  <c:v>0.086582742</c:v>
                </c:pt>
                <c:pt idx="5">
                  <c:v>0.056391656</c:v>
                </c:pt>
                <c:pt idx="6">
                  <c:v>0.03688575</c:v>
                </c:pt>
                <c:pt idx="7">
                  <c:v>0.024465798</c:v>
                </c:pt>
                <c:pt idx="8">
                  <c:v>0.016555018</c:v>
                </c:pt>
                <c:pt idx="9">
                  <c:v>0.011473786</c:v>
                </c:pt>
                <c:pt idx="10">
                  <c:v>0.00816779</c:v>
                </c:pt>
                <c:pt idx="11">
                  <c:v>0.005984185</c:v>
                </c:pt>
                <c:pt idx="12">
                  <c:v>0.0045192758</c:v>
                </c:pt>
                <c:pt idx="13">
                  <c:v>0.003522119</c:v>
                </c:pt>
                <c:pt idx="14">
                  <c:v>0.0028353681</c:v>
                </c:pt>
                <c:pt idx="15">
                  <c:v>0.0023594137</c:v>
                </c:pt>
                <c:pt idx="16">
                  <c:v>0.002030706</c:v>
                </c:pt>
                <c:pt idx="17">
                  <c:v>0.0018086379</c:v>
                </c:pt>
                <c:pt idx="18">
                  <c:v>0.001667614</c:v>
                </c:pt>
              </c:numCache>
            </c:numRef>
          </c:val>
          <c:smooth val="0"/>
        </c:ser>
        <c:ser>
          <c:idx val="2"/>
          <c:order val="2"/>
          <c:spPr>
            <a:solidFill>
              <a:srgbClr val="0000FF"/>
            </a:solidFill>
            <a:ln w="12600">
              <a:solidFill>
                <a:srgbClr val="0000FF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Sheet1!$W$97:$W$115</c:f>
              <c:strCach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strCache>
            </c:strRef>
          </c:cat>
          <c:val>
            <c:numRef>
              <c:f>Sheet1!$Z$97:$Z$115</c:f>
              <c:numCache>
                <c:formatCode>General</c:formatCode>
                <c:ptCount val="19"/>
                <c:pt idx="0">
                  <c:v>0.045368842</c:v>
                </c:pt>
                <c:pt idx="1">
                  <c:v>0.098340689</c:v>
                </c:pt>
                <c:pt idx="2">
                  <c:v>0.11842306</c:v>
                </c:pt>
                <c:pt idx="3">
                  <c:v>0.11978946</c:v>
                </c:pt>
                <c:pt idx="4">
                  <c:v>0.11128007</c:v>
                </c:pt>
                <c:pt idx="5">
                  <c:v>0.098270202</c:v>
                </c:pt>
                <c:pt idx="6">
                  <c:v>0.083912529</c:v>
                </c:pt>
                <c:pt idx="7">
                  <c:v>0.069956651</c:v>
                </c:pt>
                <c:pt idx="8">
                  <c:v>0.057285006</c:v>
                </c:pt>
                <c:pt idx="9">
                  <c:v>0.046259394</c:v>
                </c:pt>
                <c:pt idx="10">
                  <c:v>0.036941959</c:v>
                </c:pt>
                <c:pt idx="11">
                  <c:v>0.029233631</c:v>
                </c:pt>
                <c:pt idx="12">
                  <c:v>0.022958802</c:v>
                </c:pt>
                <c:pt idx="13">
                  <c:v>0.017915432</c:v>
                </c:pt>
                <c:pt idx="14">
                  <c:v>0.013903233</c:v>
                </c:pt>
                <c:pt idx="15">
                  <c:v>0.010738257</c:v>
                </c:pt>
                <c:pt idx="16">
                  <c:v>0.0082592447</c:v>
                </c:pt>
                <c:pt idx="17">
                  <c:v>0.0063291987</c:v>
                </c:pt>
                <c:pt idx="18">
                  <c:v>0.0048343346</c:v>
                </c:pt>
              </c:numCache>
            </c:numRef>
          </c:val>
          <c:smooth val="0"/>
        </c:ser>
        <c:ser>
          <c:idx val="3"/>
          <c:order val="3"/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Sheet1!$W$97:$W$115</c:f>
              <c:strCach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strCache>
            </c:strRef>
          </c:cat>
          <c:val>
            <c:numRef>
              <c:f>Sheet1!$AA$97:$AA$115</c:f>
              <c:numCache>
                <c:formatCode>General</c:formatCode>
                <c:ptCount val="19"/>
                <c:pt idx="0">
                  <c:v>0.2607707</c:v>
                </c:pt>
                <c:pt idx="1">
                  <c:v>0.31021133</c:v>
                </c:pt>
                <c:pt idx="2">
                  <c:v>0.20501423</c:v>
                </c:pt>
                <c:pt idx="3">
                  <c:v>0.11381242</c:v>
                </c:pt>
                <c:pt idx="4">
                  <c:v>0.058024542</c:v>
                </c:pt>
                <c:pt idx="5">
                  <c:v>0.028121566</c:v>
                </c:pt>
                <c:pt idx="6">
                  <c:v>0.013178554</c:v>
                </c:pt>
                <c:pt idx="7">
                  <c:v>0.0060296664</c:v>
                </c:pt>
                <c:pt idx="8">
                  <c:v>0.0027097458</c:v>
                </c:pt>
                <c:pt idx="9">
                  <c:v>0.001200911</c:v>
                </c:pt>
                <c:pt idx="10">
                  <c:v>0.00052632516</c:v>
                </c:pt>
                <c:pt idx="11">
                  <c:v>0.00022858108</c:v>
                </c:pt>
                <c:pt idx="12">
                  <c:v>9.8521282E-005</c:v>
                </c:pt>
                <c:pt idx="13">
                  <c:v>4.2192126E-005</c:v>
                </c:pt>
                <c:pt idx="14">
                  <c:v>1.79698E-005</c:v>
                </c:pt>
                <c:pt idx="15">
                  <c:v>7.6170104E-006</c:v>
                </c:pt>
                <c:pt idx="16">
                  <c:v>3.2152474E-006</c:v>
                </c:pt>
                <c:pt idx="17">
                  <c:v>1.3522161E-006</c:v>
                </c:pt>
                <c:pt idx="18">
                  <c:v>5.6683596E-007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3524266"/>
        <c:axId val="1645269"/>
      </c:lineChart>
      <c:catAx>
        <c:axId val="335242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TIME (in 5 minute cohorts)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645269"/>
        <c:crossesAt val="0"/>
        <c:auto val="1"/>
        <c:lblAlgn val="ctr"/>
        <c:lblOffset val="100"/>
        <c:noMultiLvlLbl val="0"/>
      </c:catAx>
      <c:valAx>
        <c:axId val="164526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Relative Probability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3524266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plotVisOnly val="1"/>
    <c:dispBlanksAs val="gap"/>
  </c:chart>
  <c:spPr>
    <a:noFill/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7</xdr:col>
      <xdr:colOff>101520</xdr:colOff>
      <xdr:row>27</xdr:row>
      <xdr:rowOff>55800</xdr:rowOff>
    </xdr:to>
    <xdr:graphicFrame>
      <xdr:nvGraphicFramePr>
        <xdr:cNvPr id="1" name="Object0"/>
        <xdr:cNvGraphicFramePr/>
      </xdr:nvGraphicFramePr>
      <xdr:xfrm>
        <a:off x="0" y="0"/>
        <a:ext cx="650232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101520</xdr:colOff>
      <xdr:row>0</xdr:row>
      <xdr:rowOff>0</xdr:rowOff>
    </xdr:from>
    <xdr:to>
      <xdr:col>14</xdr:col>
      <xdr:colOff>203040</xdr:colOff>
      <xdr:row>27</xdr:row>
      <xdr:rowOff>55800</xdr:rowOff>
    </xdr:to>
    <xdr:graphicFrame>
      <xdr:nvGraphicFramePr>
        <xdr:cNvPr id="2" name="Object1"/>
        <xdr:cNvGraphicFramePr/>
      </xdr:nvGraphicFramePr>
      <xdr:xfrm>
        <a:off x="6502320" y="0"/>
        <a:ext cx="650232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27</xdr:row>
      <xdr:rowOff>55800</xdr:rowOff>
    </xdr:from>
    <xdr:to>
      <xdr:col>7</xdr:col>
      <xdr:colOff>101520</xdr:colOff>
      <xdr:row>54</xdr:row>
      <xdr:rowOff>111600</xdr:rowOff>
    </xdr:to>
    <xdr:graphicFrame>
      <xdr:nvGraphicFramePr>
        <xdr:cNvPr id="3" name="Object2"/>
        <xdr:cNvGraphicFramePr/>
      </xdr:nvGraphicFramePr>
      <xdr:xfrm>
        <a:off x="0" y="4444920"/>
        <a:ext cx="650232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101520</xdr:colOff>
      <xdr:row>27</xdr:row>
      <xdr:rowOff>55800</xdr:rowOff>
    </xdr:from>
    <xdr:to>
      <xdr:col>14</xdr:col>
      <xdr:colOff>203040</xdr:colOff>
      <xdr:row>54</xdr:row>
      <xdr:rowOff>111600</xdr:rowOff>
    </xdr:to>
    <xdr:graphicFrame>
      <xdr:nvGraphicFramePr>
        <xdr:cNvPr id="4" name="Object3"/>
        <xdr:cNvGraphicFramePr/>
      </xdr:nvGraphicFramePr>
      <xdr:xfrm>
        <a:off x="6502320" y="4444920"/>
        <a:ext cx="650232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14</xdr:col>
      <xdr:colOff>203040</xdr:colOff>
      <xdr:row>0</xdr:row>
      <xdr:rowOff>0</xdr:rowOff>
    </xdr:from>
    <xdr:to>
      <xdr:col>21</xdr:col>
      <xdr:colOff>406080</xdr:colOff>
      <xdr:row>27</xdr:row>
      <xdr:rowOff>55800</xdr:rowOff>
    </xdr:to>
    <xdr:graphicFrame>
      <xdr:nvGraphicFramePr>
        <xdr:cNvPr id="5" name="Object4"/>
        <xdr:cNvGraphicFramePr/>
      </xdr:nvGraphicFramePr>
      <xdr:xfrm>
        <a:off x="13004640" y="0"/>
        <a:ext cx="650232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35"/>
    <col collapsed="false" customWidth="true" hidden="false" outlineLevel="0" max="2" min="2" style="0" width="1.26"/>
  </cols>
  <sheetData>
    <row r="1" customFormat="false" ht="16" hidden="false" customHeight="true" outlineLevel="0" collapsed="false">
      <c r="A1" s="1" t="s">
        <v>0</v>
      </c>
    </row>
    <row r="2" customFormat="false" ht="16" hidden="false" customHeight="true" outlineLevel="0" collapsed="false">
      <c r="A2" s="1" t="s">
        <v>1</v>
      </c>
    </row>
    <row r="3" customFormat="false" ht="16" hidden="false" customHeight="true" outlineLevel="0" collapsed="false"/>
    <row r="4" customFormat="false" ht="16" hidden="false" customHeight="true" outlineLevel="0" collapsed="false">
      <c r="A4" s="1" t="s">
        <v>2</v>
      </c>
    </row>
    <row r="5" customFormat="false" ht="16" hidden="false" customHeight="true" outlineLevel="0" collapsed="false">
      <c r="A5" s="1" t="s">
        <v>3</v>
      </c>
    </row>
    <row r="6" customFormat="false" ht="16" hidden="false" customHeight="true" outlineLevel="0" collapsed="false">
      <c r="A6" s="1" t="s">
        <v>4</v>
      </c>
    </row>
    <row r="7" customFormat="false" ht="16" hidden="false" customHeight="true" outlineLevel="0" collapsed="false">
      <c r="A7" s="1" t="s">
        <v>5</v>
      </c>
    </row>
    <row r="8" customFormat="false" ht="16" hidden="false" customHeight="true" outlineLevel="0" collapsed="false"/>
    <row r="9" customFormat="false" ht="16" hidden="false" customHeight="true" outlineLevel="0" collapsed="false">
      <c r="A9" s="2" t="s">
        <v>6</v>
      </c>
      <c r="C9" s="1" t="s">
        <v>7</v>
      </c>
      <c r="D9" s="1" t="s">
        <v>8</v>
      </c>
      <c r="E9" s="1" t="s">
        <v>9</v>
      </c>
      <c r="F9" s="1" t="s">
        <v>10</v>
      </c>
      <c r="G9" s="1" t="s">
        <v>11</v>
      </c>
      <c r="H9" s="1" t="s">
        <v>12</v>
      </c>
      <c r="I9" s="1" t="s">
        <v>13</v>
      </c>
    </row>
    <row r="10" customFormat="false" ht="16" hidden="false" customHeight="true" outlineLevel="0" collapsed="false">
      <c r="A10" s="1" t="s">
        <v>14</v>
      </c>
      <c r="B10" s="1" t="s">
        <v>15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</row>
    <row r="11" customFormat="false" ht="16" hidden="false" customHeight="true" outlineLevel="0" collapsed="false">
      <c r="A11" s="1" t="s">
        <v>17</v>
      </c>
      <c r="B11" s="1" t="s">
        <v>15</v>
      </c>
      <c r="C11" s="4" t="n">
        <v>0.0495</v>
      </c>
      <c r="D11" s="4" t="n">
        <v>-0.107</v>
      </c>
      <c r="E11" s="4" t="n">
        <v>-0.077</v>
      </c>
      <c r="F11" s="4" t="n">
        <v>-0.078</v>
      </c>
      <c r="G11" s="4" t="n">
        <v>-0.074</v>
      </c>
      <c r="H11" s="4" t="n">
        <v>-0.058</v>
      </c>
      <c r="I11" s="4" t="n">
        <v>-0.141</v>
      </c>
    </row>
    <row r="12" customFormat="false" ht="16" hidden="false" customHeight="true" outlineLevel="0" collapsed="false">
      <c r="B12" s="1" t="s">
        <v>15</v>
      </c>
      <c r="C12" s="2" t="s">
        <v>18</v>
      </c>
      <c r="D12" s="2" t="s">
        <v>19</v>
      </c>
      <c r="E12" s="2" t="s">
        <v>20</v>
      </c>
      <c r="F12" s="2" t="s">
        <v>21</v>
      </c>
      <c r="G12" s="2" t="s">
        <v>22</v>
      </c>
      <c r="H12" s="2" t="s">
        <v>23</v>
      </c>
      <c r="I12" s="2" t="s">
        <v>24</v>
      </c>
    </row>
    <row r="13" customFormat="false" ht="16" hidden="false" customHeight="true" outlineLevel="0" collapsed="false">
      <c r="B13" s="1" t="s">
        <v>15</v>
      </c>
    </row>
    <row r="14" customFormat="false" ht="16" hidden="false" customHeight="true" outlineLevel="0" collapsed="false">
      <c r="A14" s="1" t="s">
        <v>25</v>
      </c>
      <c r="B14" s="1" t="s">
        <v>15</v>
      </c>
      <c r="C14" s="5" t="s">
        <v>16</v>
      </c>
      <c r="D14" s="1" t="n">
        <v>0.642</v>
      </c>
      <c r="E14" s="1" t="n">
        <v>0.265</v>
      </c>
      <c r="F14" s="5" t="s">
        <v>16</v>
      </c>
      <c r="G14" s="5" t="s">
        <v>16</v>
      </c>
      <c r="H14" s="5" t="s">
        <v>16</v>
      </c>
      <c r="I14" s="5" t="s">
        <v>16</v>
      </c>
    </row>
    <row r="15" customFormat="false" ht="16" hidden="false" customHeight="true" outlineLevel="0" collapsed="false">
      <c r="B15" s="1" t="s">
        <v>15</v>
      </c>
      <c r="C15" s="5" t="s">
        <v>16</v>
      </c>
      <c r="D15" s="2" t="s">
        <v>26</v>
      </c>
      <c r="E15" s="2" t="s">
        <v>18</v>
      </c>
      <c r="F15" s="5" t="s">
        <v>16</v>
      </c>
      <c r="G15" s="5" t="s">
        <v>16</v>
      </c>
      <c r="H15" s="5" t="s">
        <v>16</v>
      </c>
      <c r="I15" s="5" t="s">
        <v>16</v>
      </c>
    </row>
    <row r="16" customFormat="false" ht="16" hidden="false" customHeight="true" outlineLevel="0" collapsed="false">
      <c r="B16" s="1" t="s">
        <v>15</v>
      </c>
    </row>
    <row r="17" customFormat="false" ht="16" hidden="false" customHeight="true" outlineLevel="0" collapsed="false">
      <c r="A17" s="1" t="s">
        <v>27</v>
      </c>
      <c r="B17" s="1" t="s">
        <v>15</v>
      </c>
      <c r="C17" s="1" t="n">
        <v>-0.00106</v>
      </c>
      <c r="D17" s="5" t="s">
        <v>16</v>
      </c>
      <c r="E17" s="5" t="s">
        <v>16</v>
      </c>
      <c r="F17" s="5" t="s">
        <v>16</v>
      </c>
      <c r="G17" s="5" t="s">
        <v>16</v>
      </c>
      <c r="H17" s="5" t="s">
        <v>16</v>
      </c>
      <c r="I17" s="5" t="s">
        <v>16</v>
      </c>
    </row>
    <row r="18" customFormat="false" ht="16" hidden="false" customHeight="true" outlineLevel="0" collapsed="false">
      <c r="B18" s="1" t="s">
        <v>15</v>
      </c>
      <c r="C18" s="2" t="s">
        <v>28</v>
      </c>
      <c r="D18" s="5" t="s">
        <v>16</v>
      </c>
      <c r="E18" s="5" t="s">
        <v>16</v>
      </c>
      <c r="F18" s="5" t="s">
        <v>16</v>
      </c>
      <c r="G18" s="5" t="s">
        <v>16</v>
      </c>
      <c r="H18" s="5" t="s">
        <v>16</v>
      </c>
      <c r="I18" s="5" t="s">
        <v>16</v>
      </c>
    </row>
    <row r="19" customFormat="false" ht="16" hidden="false" customHeight="true" outlineLevel="0" collapsed="false">
      <c r="B19" s="1" t="s">
        <v>15</v>
      </c>
    </row>
    <row r="20" customFormat="false" ht="16" hidden="false" customHeight="true" outlineLevel="0" collapsed="false">
      <c r="A20" s="1" t="s">
        <v>29</v>
      </c>
      <c r="B20" s="1" t="s">
        <v>15</v>
      </c>
      <c r="C20" s="4" t="n">
        <v>-2.92</v>
      </c>
      <c r="D20" s="4" t="n">
        <v>-2.9</v>
      </c>
      <c r="E20" s="4" t="n">
        <v>-1.91</v>
      </c>
      <c r="F20" s="4" t="n">
        <v>-0.967</v>
      </c>
      <c r="G20" s="4" t="n">
        <v>-1.03</v>
      </c>
      <c r="H20" s="4" t="n">
        <v>-1.31</v>
      </c>
      <c r="I20" s="4" t="n">
        <v>-0.58</v>
      </c>
    </row>
    <row r="21" customFormat="false" ht="16" hidden="false" customHeight="true" outlineLevel="0" collapsed="false">
      <c r="B21" s="1" t="s">
        <v>15</v>
      </c>
    </row>
    <row r="22" customFormat="false" ht="16" hidden="false" customHeight="true" outlineLevel="0" collapsed="false">
      <c r="A22" s="1" t="s">
        <v>30</v>
      </c>
      <c r="B22" s="1" t="s">
        <v>15</v>
      </c>
      <c r="C22" s="1" t="n">
        <v>0.87</v>
      </c>
      <c r="D22" s="1" t="n">
        <v>0.88</v>
      </c>
      <c r="E22" s="1" t="n">
        <v>0.98</v>
      </c>
      <c r="F22" s="1" t="n">
        <v>0.94</v>
      </c>
      <c r="G22" s="1" t="n">
        <v>0.94</v>
      </c>
      <c r="H22" s="1" t="n">
        <v>0.87</v>
      </c>
      <c r="I22" s="1" t="n">
        <v>0.94</v>
      </c>
    </row>
    <row r="23" customFormat="false" ht="16" hidden="false" customHeight="true" outlineLevel="0" collapsed="false"/>
    <row r="24" customFormat="false" ht="16" hidden="false" customHeight="true" outlineLevel="0" collapsed="false"/>
    <row r="25" customFormat="false" ht="16" hidden="false" customHeight="true" outlineLevel="0" collapsed="false"/>
    <row r="26" customFormat="false" ht="16" hidden="false" customHeight="true" outlineLevel="0" collapsed="false"/>
    <row r="27" customFormat="false" ht="16" hidden="false" customHeight="true" outlineLevel="0" collapsed="false">
      <c r="A27" s="1" t="s">
        <v>31</v>
      </c>
    </row>
    <row r="28" customFormat="false" ht="16" hidden="false" customHeight="true" outlineLevel="0" collapsed="false">
      <c r="A28" s="1" t="s">
        <v>32</v>
      </c>
    </row>
    <row r="29" customFormat="false" ht="16" hidden="false" customHeight="true" outlineLevel="0" collapsed="false">
      <c r="A29" s="1" t="s">
        <v>5</v>
      </c>
    </row>
    <row r="30" customFormat="false" ht="16" hidden="false" customHeight="true" outlineLevel="0" collapsed="false"/>
    <row r="31" customFormat="false" ht="16" hidden="false" customHeight="true" outlineLevel="0" collapsed="false">
      <c r="A31" s="2" t="s">
        <v>6</v>
      </c>
      <c r="C31" s="1" t="s">
        <v>10</v>
      </c>
      <c r="D31" s="1" t="s">
        <v>33</v>
      </c>
      <c r="E31" s="1" t="s">
        <v>9</v>
      </c>
      <c r="F31" s="1" t="s">
        <v>13</v>
      </c>
    </row>
    <row r="32" customFormat="false" ht="16" hidden="false" customHeight="true" outlineLevel="0" collapsed="false">
      <c r="A32" s="1" t="s">
        <v>14</v>
      </c>
      <c r="B32" s="1" t="s">
        <v>15</v>
      </c>
      <c r="C32" s="3" t="s">
        <v>16</v>
      </c>
      <c r="D32" s="3" t="s">
        <v>16</v>
      </c>
      <c r="E32" s="3" t="s">
        <v>16</v>
      </c>
      <c r="F32" s="3" t="s">
        <v>16</v>
      </c>
    </row>
    <row r="33" customFormat="false" ht="16" hidden="false" customHeight="true" outlineLevel="0" collapsed="false">
      <c r="A33" s="1" t="s">
        <v>17</v>
      </c>
      <c r="B33" s="1" t="s">
        <v>15</v>
      </c>
      <c r="C33" s="4" t="n">
        <v>-0.156</v>
      </c>
      <c r="D33" s="4" t="n">
        <v>-0.16</v>
      </c>
      <c r="E33" s="4" t="n">
        <v>-0.065</v>
      </c>
      <c r="F33" s="4" t="n">
        <v>-0.185</v>
      </c>
    </row>
    <row r="34" customFormat="false" ht="16" hidden="false" customHeight="true" outlineLevel="0" collapsed="false">
      <c r="B34" s="1" t="s">
        <v>15</v>
      </c>
      <c r="C34" s="2" t="s">
        <v>34</v>
      </c>
      <c r="D34" s="2" t="s">
        <v>35</v>
      </c>
      <c r="E34" s="2" t="s">
        <v>36</v>
      </c>
      <c r="F34" s="2" t="s">
        <v>37</v>
      </c>
    </row>
    <row r="35" customFormat="false" ht="16" hidden="false" customHeight="true" outlineLevel="0" collapsed="false">
      <c r="B35" s="1" t="s">
        <v>15</v>
      </c>
    </row>
    <row r="36" customFormat="false" ht="16" hidden="false" customHeight="true" outlineLevel="0" collapsed="false">
      <c r="A36" s="1" t="s">
        <v>27</v>
      </c>
      <c r="B36" s="1" t="s">
        <v>15</v>
      </c>
      <c r="C36" s="1" t="n">
        <v>0.000663</v>
      </c>
      <c r="D36" s="1" t="n">
        <v>0.000758</v>
      </c>
      <c r="E36" s="5" t="s">
        <v>16</v>
      </c>
      <c r="F36" s="5" t="s">
        <v>16</v>
      </c>
    </row>
    <row r="37" customFormat="false" ht="16" hidden="false" customHeight="true" outlineLevel="0" collapsed="false">
      <c r="B37" s="1" t="s">
        <v>15</v>
      </c>
      <c r="C37" s="2" t="s">
        <v>38</v>
      </c>
      <c r="D37" s="2" t="s">
        <v>39</v>
      </c>
      <c r="E37" s="5" t="s">
        <v>16</v>
      </c>
      <c r="F37" s="5" t="s">
        <v>16</v>
      </c>
    </row>
    <row r="38" customFormat="false" ht="16" hidden="false" customHeight="true" outlineLevel="0" collapsed="false">
      <c r="B38" s="1" t="s">
        <v>15</v>
      </c>
    </row>
    <row r="39" customFormat="false" ht="16" hidden="false" customHeight="true" outlineLevel="0" collapsed="false">
      <c r="A39" s="1" t="s">
        <v>29</v>
      </c>
      <c r="B39" s="1" t="s">
        <v>15</v>
      </c>
      <c r="C39" s="4" t="n">
        <v>-0.39</v>
      </c>
      <c r="D39" s="4" t="n">
        <v>-0.36</v>
      </c>
      <c r="E39" s="4" t="n">
        <v>-1.32</v>
      </c>
      <c r="F39" s="4" t="n">
        <v>-0.186</v>
      </c>
    </row>
    <row r="40" customFormat="false" ht="16" hidden="false" customHeight="true" outlineLevel="0" collapsed="false">
      <c r="B40" s="1" t="s">
        <v>15</v>
      </c>
    </row>
    <row r="41" customFormat="false" ht="16" hidden="false" customHeight="true" outlineLevel="0" collapsed="false">
      <c r="A41" s="1" t="s">
        <v>30</v>
      </c>
      <c r="B41" s="1" t="s">
        <v>15</v>
      </c>
      <c r="C41" s="1" t="n">
        <v>0.95</v>
      </c>
      <c r="D41" s="1" t="n">
        <v>0.96</v>
      </c>
      <c r="E41" s="1" t="n">
        <v>0.93</v>
      </c>
      <c r="F41" s="1" t="n">
        <v>0.95</v>
      </c>
    </row>
    <row r="42" customFormat="false" ht="16" hidden="false" customHeight="true" outlineLevel="0" collapsed="false"/>
    <row r="43" customFormat="false" ht="16" hidden="false" customHeight="true" outlineLevel="0" collapsed="false"/>
    <row r="44" customFormat="false" ht="16" hidden="false" customHeight="true" outlineLevel="0" collapsed="false">
      <c r="A44" s="1" t="s">
        <v>40</v>
      </c>
    </row>
    <row r="45" customFormat="false" ht="16" hidden="false" customHeight="true" outlineLevel="0" collapsed="false">
      <c r="A45" s="1" t="s">
        <v>41</v>
      </c>
    </row>
    <row r="46" customFormat="false" ht="16" hidden="false" customHeight="true" outlineLevel="0" collapsed="false"/>
    <row r="47" customFormat="false" ht="16" hidden="false" customHeight="true" outlineLevel="0" collapsed="false"/>
    <row r="48" customFormat="false" ht="16" hidden="false" customHeight="true" outlineLevel="0" collapsed="false"/>
    <row r="49" customFormat="false" ht="16" hidden="false" customHeight="true" outlineLevel="0" collapsed="false">
      <c r="A49" s="1" t="s">
        <v>42</v>
      </c>
    </row>
    <row r="50" customFormat="false" ht="16" hidden="false" customHeight="true" outlineLevel="0" collapsed="false">
      <c r="A50" s="1" t="s">
        <v>43</v>
      </c>
    </row>
    <row r="51" customFormat="false" ht="16" hidden="false" customHeight="true" outlineLevel="0" collapsed="false">
      <c r="A51" s="1" t="s">
        <v>7</v>
      </c>
      <c r="B51" s="1" t="s">
        <v>44</v>
      </c>
    </row>
    <row r="52" customFormat="false" ht="16" hidden="false" customHeight="true" outlineLevel="0" collapsed="false">
      <c r="A52" s="1" t="s">
        <v>8</v>
      </c>
      <c r="B52" s="1" t="s">
        <v>45</v>
      </c>
    </row>
    <row r="53" customFormat="false" ht="16" hidden="false" customHeight="true" outlineLevel="0" collapsed="false">
      <c r="A53" s="1" t="s">
        <v>9</v>
      </c>
      <c r="B53" s="1" t="s">
        <v>46</v>
      </c>
    </row>
    <row r="54" customFormat="false" ht="16" hidden="false" customHeight="true" outlineLevel="0" collapsed="false">
      <c r="A54" s="1" t="s">
        <v>10</v>
      </c>
      <c r="B54" s="1" t="s">
        <v>47</v>
      </c>
    </row>
    <row r="55" customFormat="false" ht="16" hidden="false" customHeight="true" outlineLevel="0" collapsed="false">
      <c r="A55" s="1" t="s">
        <v>11</v>
      </c>
      <c r="B55" s="1" t="s">
        <v>48</v>
      </c>
    </row>
    <row r="56" customFormat="false" ht="16" hidden="false" customHeight="true" outlineLevel="0" collapsed="false">
      <c r="A56" s="1" t="s">
        <v>33</v>
      </c>
      <c r="B56" s="1" t="s">
        <v>49</v>
      </c>
    </row>
    <row r="57" customFormat="false" ht="16" hidden="false" customHeight="true" outlineLevel="0" collapsed="false">
      <c r="A57" s="1" t="s">
        <v>12</v>
      </c>
      <c r="B57" s="1" t="s">
        <v>50</v>
      </c>
    </row>
    <row r="58" customFormat="false" ht="16" hidden="false" customHeight="true" outlineLevel="0" collapsed="false">
      <c r="A58" s="1" t="s">
        <v>13</v>
      </c>
      <c r="B58" s="1" t="s">
        <v>51</v>
      </c>
    </row>
    <row r="59" customFormat="false" ht="16" hidden="false" customHeight="true" outlineLevel="0" collapsed="false"/>
    <row r="60" customFormat="false" ht="16" hidden="false" customHeight="true" outlineLevel="0" collapsed="false"/>
    <row r="61" customFormat="false" ht="16" hidden="false" customHeight="true" outlineLevel="0" collapsed="false"/>
    <row r="62" customFormat="false" ht="16" hidden="false" customHeight="true" outlineLevel="0" collapsed="false"/>
    <row r="63" customFormat="false" ht="16" hidden="false" customHeight="true" outlineLevel="0" collapsed="false"/>
    <row r="64" customFormat="false" ht="16" hidden="false" customHeight="true" outlineLevel="0" collapsed="false"/>
    <row r="65" customFormat="false" ht="16" hidden="false" customHeight="true" outlineLevel="0" collapsed="false"/>
    <row r="66" customFormat="false" ht="16" hidden="false" customHeight="true" outlineLevel="0" collapsed="false"/>
    <row r="67" customFormat="false" ht="16" hidden="false" customHeight="true" outlineLevel="0" collapsed="false"/>
    <row r="68" customFormat="false" ht="16" hidden="false" customHeight="true" outlineLevel="0" collapsed="false"/>
    <row r="69" customFormat="false" ht="16" hidden="false" customHeight="true" outlineLevel="0" collapsed="false">
      <c r="A69" s="1" t="s">
        <v>52</v>
      </c>
      <c r="L69" s="1" t="s">
        <v>52</v>
      </c>
      <c r="W69" s="1" t="s">
        <v>52</v>
      </c>
    </row>
    <row r="70" customFormat="false" ht="16" hidden="false" customHeight="true" outlineLevel="0" collapsed="false">
      <c r="C70" s="1" t="s">
        <v>7</v>
      </c>
      <c r="D70" s="1" t="s">
        <v>8</v>
      </c>
      <c r="E70" s="1" t="s">
        <v>9</v>
      </c>
      <c r="F70" s="1" t="s">
        <v>10</v>
      </c>
      <c r="G70" s="1" t="s">
        <v>11</v>
      </c>
      <c r="H70" s="1" t="s">
        <v>12</v>
      </c>
      <c r="I70" s="1" t="s">
        <v>13</v>
      </c>
      <c r="M70" s="1" t="s">
        <v>7</v>
      </c>
      <c r="N70" s="1" t="s">
        <v>8</v>
      </c>
      <c r="O70" s="1" t="s">
        <v>9</v>
      </c>
      <c r="P70" s="1" t="s">
        <v>10</v>
      </c>
      <c r="Q70" s="1" t="s">
        <v>11</v>
      </c>
      <c r="R70" s="1" t="s">
        <v>12</v>
      </c>
      <c r="S70" s="1" t="s">
        <v>13</v>
      </c>
      <c r="X70" s="1" t="s">
        <v>7</v>
      </c>
      <c r="Y70" s="1" t="s">
        <v>8</v>
      </c>
      <c r="Z70" s="1" t="s">
        <v>9</v>
      </c>
      <c r="AA70" s="1" t="s">
        <v>10</v>
      </c>
      <c r="AB70" s="1" t="s">
        <v>11</v>
      </c>
      <c r="AC70" s="1" t="s">
        <v>12</v>
      </c>
      <c r="AD70" s="1" t="s">
        <v>13</v>
      </c>
    </row>
    <row r="71" customFormat="false" ht="16" hidden="false" customHeight="true" outlineLevel="0" collapsed="false">
      <c r="A71" s="1" t="s">
        <v>17</v>
      </c>
      <c r="C71" s="3" t="s">
        <v>16</v>
      </c>
      <c r="D71" s="3" t="s">
        <v>16</v>
      </c>
      <c r="E71" s="3" t="s">
        <v>16</v>
      </c>
      <c r="F71" s="3" t="s">
        <v>16</v>
      </c>
      <c r="G71" s="3" t="s">
        <v>16</v>
      </c>
      <c r="H71" s="3" t="s">
        <v>16</v>
      </c>
      <c r="I71" s="3" t="s">
        <v>16</v>
      </c>
      <c r="K71" s="1" t="s">
        <v>53</v>
      </c>
      <c r="L71" s="1" t="s">
        <v>17</v>
      </c>
      <c r="M71" s="3" t="s">
        <v>16</v>
      </c>
      <c r="N71" s="3" t="s">
        <v>16</v>
      </c>
      <c r="O71" s="3" t="s">
        <v>16</v>
      </c>
      <c r="P71" s="3" t="s">
        <v>16</v>
      </c>
      <c r="Q71" s="3" t="s">
        <v>16</v>
      </c>
      <c r="R71" s="3" t="s">
        <v>16</v>
      </c>
      <c r="S71" s="3" t="s">
        <v>16</v>
      </c>
      <c r="V71" s="1" t="s">
        <v>53</v>
      </c>
      <c r="W71" s="1" t="s">
        <v>17</v>
      </c>
      <c r="X71" s="3" t="s">
        <v>16</v>
      </c>
      <c r="Y71" s="3" t="s">
        <v>16</v>
      </c>
      <c r="Z71" s="3" t="s">
        <v>16</v>
      </c>
      <c r="AA71" s="3" t="s">
        <v>16</v>
      </c>
      <c r="AB71" s="3" t="s">
        <v>16</v>
      </c>
      <c r="AC71" s="3" t="s">
        <v>16</v>
      </c>
      <c r="AD71" s="3" t="s">
        <v>16</v>
      </c>
    </row>
    <row r="72" customFormat="false" ht="16" hidden="false" customHeight="true" outlineLevel="0" collapsed="false">
      <c r="A72" s="1" t="n">
        <v>0</v>
      </c>
      <c r="B72" s="1" t="s">
        <v>15</v>
      </c>
      <c r="C72" s="1" t="n">
        <f aca="false">EXP(C$11*$A72+C$14*SQRT($A72)+C$17*$A72*$A72+C$20)</f>
        <v>0.053933687</v>
      </c>
      <c r="D72" s="1" t="n">
        <f aca="false">EXP(D$11*$A72+D$14*SQRT($A72)+D$17*$A72*$A72+D$20)</f>
        <v>0.05502322</v>
      </c>
      <c r="E72" s="1" t="n">
        <f aca="false">EXP(E$11*$A72+E$14*SQRT($A72)+E$17*$A72*$A72+E$20)</f>
        <v>0.14808039</v>
      </c>
      <c r="F72" s="1" t="n">
        <f aca="false">EXP(F$11*$A72+F$14*SQRT($A72)+F$17*$A72*$A72+F$20)</f>
        <v>0.38022199</v>
      </c>
      <c r="G72" s="1" t="n">
        <f aca="false">EXP(G$11*$A72+G$14*SQRT($A72)+G$17*$A72*$A72+G$20)</f>
        <v>0.35700696</v>
      </c>
      <c r="H72" s="1" t="n">
        <f aca="false">EXP(H$11*$A72+H$14*SQRT($A72)+H$17*$A72*$A72+H$20)</f>
        <v>0.26982006</v>
      </c>
      <c r="I72" s="1" t="n">
        <f aca="false">EXP(I$11*$A72+I$14*SQRT($A72)+I$17*$A72*$A72+I$20)</f>
        <v>0.55989837</v>
      </c>
      <c r="K72" s="1" t="n">
        <v>1</v>
      </c>
      <c r="L72" s="1" t="n">
        <f aca="false">A72</f>
        <v>0</v>
      </c>
      <c r="M72" s="1" t="n">
        <f aca="false">(C72/C$92)*($K72)</f>
        <v>0.058371564</v>
      </c>
      <c r="N72" s="1" t="n">
        <f aca="false">(D72/D$92)*$K72</f>
        <v>0.056820585</v>
      </c>
      <c r="O72" s="1" t="n">
        <f aca="false">(E72/E$92)*$K72</f>
        <v>0.14068461</v>
      </c>
      <c r="P72" s="1" t="n">
        <f aca="false">(F72/F$92)*$K72</f>
        <v>0.32313868</v>
      </c>
      <c r="Q72" s="1" t="n">
        <f aca="false">(G72/G$92)*$K72</f>
        <v>0.30953959</v>
      </c>
      <c r="R72" s="1" t="n">
        <f aca="false">(H72/H$92)*$K72</f>
        <v>0.25275912</v>
      </c>
      <c r="S72" s="1" t="n">
        <f aca="false">(I72/I$92)*$K72</f>
        <v>0.5058922</v>
      </c>
      <c r="V72" s="1" t="n">
        <v>1</v>
      </c>
      <c r="W72" s="1" t="n">
        <f aca="false">L72</f>
        <v>0</v>
      </c>
      <c r="X72" s="1" t="n">
        <f aca="false">(M72/M$92)</f>
        <v>0.0047661628</v>
      </c>
      <c r="Y72" s="1" t="n">
        <f aca="false">(N72/N$92)</f>
        <v>0.0058052128</v>
      </c>
      <c r="Z72" s="1" t="n">
        <f aca="false">(O72/O$92)</f>
        <v>0.016867269</v>
      </c>
      <c r="AA72" s="1" t="n">
        <f aca="false">(P72/P$92)</f>
        <v>0.062502277</v>
      </c>
      <c r="AB72" s="1" t="n">
        <f aca="false">(Q72/Q$92)</f>
        <v>0.056971092</v>
      </c>
      <c r="AC72" s="1" t="n">
        <f aca="false">(R72/R$92)</f>
        <v>0.037222786</v>
      </c>
      <c r="AD72" s="1" t="n">
        <f aca="false">(S72/S$92)</f>
        <v>0.1712938</v>
      </c>
    </row>
    <row r="73" customFormat="false" ht="16" hidden="false" customHeight="true" outlineLevel="0" collapsed="false">
      <c r="A73" s="1" t="n">
        <v>5</v>
      </c>
      <c r="B73" s="1" t="s">
        <v>15</v>
      </c>
      <c r="C73" s="1" t="n">
        <f aca="false">EXP(C$11*$A73+C$14*SQRT($A73)+C$17*$A73*$A73+C$20)</f>
        <v>0.067272752</v>
      </c>
      <c r="D73" s="1" t="n">
        <f aca="false">EXP(D$11*$A73+D$14*SQRT($A73)+D$17*$A73*$A73+D$20)</f>
        <v>0.1354105</v>
      </c>
      <c r="E73" s="1" t="n">
        <f aca="false">EXP(E$11*$A73+E$14*SQRT($A73)+E$17*$A73*$A73+E$20)</f>
        <v>0.18223796</v>
      </c>
      <c r="F73" s="1" t="n">
        <f aca="false">EXP(F$11*$A73+F$14*SQRT($A73)+F$17*$A73*$A73+F$20)</f>
        <v>0.25743192</v>
      </c>
      <c r="G73" s="1" t="n">
        <f aca="false">EXP(G$11*$A73+G$14*SQRT($A73)+G$17*$A73*$A73+G$20)</f>
        <v>0.24659696</v>
      </c>
      <c r="H73" s="1" t="n">
        <f aca="false">EXP(H$11*$A73+H$14*SQRT($A73)+H$17*$A73*$A73+H$20)</f>
        <v>0.20189652</v>
      </c>
      <c r="I73" s="1" t="n">
        <f aca="false">EXP(I$11*$A73+I$14*SQRT($A73)+I$17*$A73*$A73+I$20)</f>
        <v>0.27665058</v>
      </c>
      <c r="K73" s="1" t="n">
        <v>3</v>
      </c>
      <c r="L73" s="1" t="n">
        <f aca="false">A73</f>
        <v>5</v>
      </c>
      <c r="M73" s="1" t="n">
        <f aca="false">(C73/C$92)*($K73)</f>
        <v>0.21842466</v>
      </c>
      <c r="N73" s="1" t="n">
        <f aca="false">(D73/D$92)*$K73</f>
        <v>0.41950129</v>
      </c>
      <c r="O73" s="1" t="n">
        <f aca="false">(E73/E$92)*$K73</f>
        <v>0.51940861</v>
      </c>
      <c r="P73" s="1" t="n">
        <f aca="false">(F73/F$92)*$K73</f>
        <v>0.65634979</v>
      </c>
      <c r="Q73" s="1" t="n">
        <f aca="false">(G73/G$92)*$K73</f>
        <v>0.64142887</v>
      </c>
      <c r="R73" s="1" t="n">
        <f aca="false">(H73/H$92)*$K73</f>
        <v>0.56739133</v>
      </c>
      <c r="S73" s="1" t="n">
        <f aca="false">(I73/I$92)*$K73</f>
        <v>0.74989702</v>
      </c>
      <c r="V73" s="1" t="n">
        <v>3</v>
      </c>
      <c r="W73" s="1" t="n">
        <f aca="false">L73</f>
        <v>5</v>
      </c>
      <c r="X73" s="1" t="n">
        <f aca="false">(M73/M$92)</f>
        <v>0.017834839</v>
      </c>
      <c r="Y73" s="1" t="n">
        <f aca="false">(N73/N$92)</f>
        <v>0.042859366</v>
      </c>
      <c r="Z73" s="1" t="n">
        <f aca="false">(O73/O$92)</f>
        <v>0.06227408</v>
      </c>
      <c r="AA73" s="1" t="n">
        <f aca="false">(P73/P$92)</f>
        <v>0.12695279</v>
      </c>
      <c r="AB73" s="1" t="n">
        <f aca="false">(Q73/Q$92)</f>
        <v>0.11805567</v>
      </c>
      <c r="AC73" s="1" t="n">
        <f aca="false">(R73/R$92)</f>
        <v>0.083557364</v>
      </c>
      <c r="AD73" s="1" t="n">
        <f aca="false">(S73/S$92)</f>
        <v>0.25391321</v>
      </c>
    </row>
    <row r="74" customFormat="false" ht="16" hidden="false" customHeight="true" outlineLevel="0" collapsed="false">
      <c r="A74" s="1" t="n">
        <v>10</v>
      </c>
      <c r="B74" s="1" t="s">
        <v>15</v>
      </c>
      <c r="C74" s="1" t="n">
        <f aca="false">EXP(C$11*$A74+C$14*SQRT($A74)+C$17*$A74*$A74+C$20)</f>
        <v>0.079579401</v>
      </c>
      <c r="D74" s="1" t="n">
        <f aca="false">EXP(D$11*$A74+D$14*SQRT($A74)+D$17*$A74*$A74+D$20)</f>
        <v>0.14373014</v>
      </c>
      <c r="E74" s="1" t="n">
        <f aca="false">EXP(E$11*$A74+E$14*SQRT($A74)+E$17*$A74*$A74+E$20)</f>
        <v>0.15850068</v>
      </c>
      <c r="F74" s="1" t="n">
        <f aca="false">EXP(F$11*$A74+F$14*SQRT($A74)+F$17*$A74*$A74+F$20)</f>
        <v>0.17429605</v>
      </c>
      <c r="G74" s="1" t="n">
        <f aca="false">EXP(G$11*$A74+G$14*SQRT($A74)+G$17*$A74*$A74+G$20)</f>
        <v>0.17033299</v>
      </c>
      <c r="H74" s="1" t="n">
        <f aca="false">EXP(H$11*$A74+H$14*SQRT($A74)+H$17*$A74*$A74+H$20)</f>
        <v>0.15107181</v>
      </c>
      <c r="I74" s="1" t="n">
        <f aca="false">EXP(I$11*$A74+I$14*SQRT($A74)+I$17*$A74*$A74+I$20)</f>
        <v>0.13669543</v>
      </c>
      <c r="K74" s="1" t="n">
        <v>5</v>
      </c>
      <c r="L74" s="1" t="n">
        <f aca="false">A74</f>
        <v>10</v>
      </c>
      <c r="M74" s="1" t="n">
        <f aca="false">(C74/C$92)*($K74)</f>
        <v>0.43063755</v>
      </c>
      <c r="N74" s="1" t="n">
        <f aca="false">(D74/D$92)*$K74</f>
        <v>0.74212585</v>
      </c>
      <c r="O74" s="1" t="n">
        <f aca="false">(E74/E$92)*$K74</f>
        <v>0.75292233</v>
      </c>
      <c r="P74" s="1" t="n">
        <f aca="false">(F74/F$92)*$K74</f>
        <v>0.74064357</v>
      </c>
      <c r="Q74" s="1" t="n">
        <f aca="false">(G74/G$92)*$K74</f>
        <v>0.73842823</v>
      </c>
      <c r="R74" s="1" t="n">
        <f aca="false">(H74/H$92)*$K74</f>
        <v>0.7075971</v>
      </c>
      <c r="S74" s="1" t="n">
        <f aca="false">(I74/I$92)*$K74</f>
        <v>0.61755091</v>
      </c>
      <c r="V74" s="1" t="n">
        <v>5</v>
      </c>
      <c r="W74" s="1" t="n">
        <f aca="false">L74</f>
        <v>10</v>
      </c>
      <c r="X74" s="1" t="n">
        <f aca="false">(M74/M$92)</f>
        <v>0.035162474</v>
      </c>
      <c r="Y74" s="1" t="n">
        <f aca="false">(N74/N$92)</f>
        <v>0.075821087</v>
      </c>
      <c r="Z74" s="1" t="n">
        <f aca="false">(O74/O$92)</f>
        <v>0.09027102</v>
      </c>
      <c r="AA74" s="1" t="n">
        <f aca="false">(P74/P$92)</f>
        <v>0.1432571</v>
      </c>
      <c r="AB74" s="1" t="n">
        <f aca="false">(Q74/Q$92)</f>
        <v>0.1359085</v>
      </c>
      <c r="AC74" s="1" t="n">
        <f aca="false">(R74/R$92)</f>
        <v>0.10420489</v>
      </c>
      <c r="AD74" s="1" t="n">
        <f aca="false">(S74/S$92)</f>
        <v>0.20910116</v>
      </c>
    </row>
    <row r="75" customFormat="false" ht="16" hidden="false" customHeight="true" outlineLevel="0" collapsed="false">
      <c r="A75" s="1" t="n">
        <v>15</v>
      </c>
      <c r="B75" s="1" t="s">
        <v>15</v>
      </c>
      <c r="C75" s="1" t="n">
        <f aca="false">EXP(C$11*$A75+C$14*SQRT($A75)+C$17*$A75*$A75+C$20)</f>
        <v>0.089278016</v>
      </c>
      <c r="D75" s="1" t="n">
        <f aca="false">EXP(D$11*$A75+D$14*SQRT($A75)+D$17*$A75*$A75+D$20)</f>
        <v>0.13284866</v>
      </c>
      <c r="E75" s="1" t="n">
        <f aca="false">EXP(E$11*$A75+E$14*SQRT($A75)+E$17*$A75*$A75+E$20)</f>
        <v>0.13020314</v>
      </c>
      <c r="F75" s="1" t="n">
        <f aca="false">EXP(F$11*$A75+F$14*SQRT($A75)+F$17*$A75*$A75+F$20)</f>
        <v>0.11800834</v>
      </c>
      <c r="G75" s="1" t="n">
        <f aca="false">EXP(G$11*$A75+G$14*SQRT($A75)+G$17*$A75*$A75+G$20)</f>
        <v>0.11765484</v>
      </c>
      <c r="H75" s="1" t="n">
        <f aca="false">EXP(H$11*$A75+H$14*SQRT($A75)+H$17*$A75*$A75+H$20)</f>
        <v>0.11304153</v>
      </c>
      <c r="I75" s="1" t="n">
        <f aca="false">EXP(I$11*$A75+I$14*SQRT($A75)+I$17*$A75*$A75+I$20)</f>
        <v>0.067542382</v>
      </c>
      <c r="K75" s="1" t="n">
        <v>7</v>
      </c>
      <c r="L75" s="1" t="n">
        <f aca="false">A75</f>
        <v>15</v>
      </c>
      <c r="M75" s="1" t="n">
        <f aca="false">(C75/C$92)*($K75)</f>
        <v>0.67636915</v>
      </c>
      <c r="N75" s="1" t="n">
        <f aca="false">(D75/D$92)*$K75</f>
        <v>0.96031766</v>
      </c>
      <c r="O75" s="1" t="n">
        <f aca="false">(E75/E$92)*$K75</f>
        <v>0.86590163</v>
      </c>
      <c r="P75" s="1" t="n">
        <f aca="false">(F75/F$92)*$K75</f>
        <v>0.70204095</v>
      </c>
      <c r="Q75" s="1" t="n">
        <f aca="false">(G75/G$92)*$K75</f>
        <v>0.71408082</v>
      </c>
      <c r="R75" s="1" t="n">
        <f aca="false">(H75/H$92)*$K75</f>
        <v>0.74125678</v>
      </c>
      <c r="S75" s="1" t="n">
        <f aca="false">(I75/I$92)*$K75</f>
        <v>0.42719208</v>
      </c>
      <c r="V75" s="1" t="n">
        <v>7</v>
      </c>
      <c r="W75" s="1" t="n">
        <f aca="false">L75</f>
        <v>15</v>
      </c>
      <c r="X75" s="1" t="n">
        <f aca="false">(M75/M$92)</f>
        <v>0.055226984</v>
      </c>
      <c r="Y75" s="1" t="n">
        <f aca="false">(N75/N$92)</f>
        <v>0.098113182</v>
      </c>
      <c r="Z75" s="1" t="n">
        <f aca="false">(O75/O$92)</f>
        <v>0.10381658</v>
      </c>
      <c r="AA75" s="1" t="n">
        <f aca="false">(P75/P$92)</f>
        <v>0.13579048</v>
      </c>
      <c r="AB75" s="1" t="n">
        <f aca="false">(Q75/Q$92)</f>
        <v>0.13142734</v>
      </c>
      <c r="AC75" s="1" t="n">
        <f aca="false">(R75/R$92)</f>
        <v>0.10916181</v>
      </c>
      <c r="AD75" s="1" t="n">
        <f aca="false">(S75/S$92)</f>
        <v>0.14464614</v>
      </c>
    </row>
    <row r="76" customFormat="false" ht="16" hidden="false" customHeight="true" outlineLevel="0" collapsed="false">
      <c r="A76" s="1" t="n">
        <v>20</v>
      </c>
      <c r="B76" s="1" t="s">
        <v>15</v>
      </c>
      <c r="C76" s="1" t="n">
        <f aca="false">EXP(C$11*$A76+C$14*SQRT($A76)+C$17*$A76*$A76+C$20)</f>
        <v>0.094988448</v>
      </c>
      <c r="D76" s="1" t="n">
        <f aca="false">EXP(D$11*$A76+D$14*SQRT($A76)+D$17*$A76*$A76+D$20)</f>
        <v>0.11430457</v>
      </c>
      <c r="E76" s="1" t="n">
        <f aca="false">EXP(E$11*$A76+E$14*SQRT($A76)+E$17*$A76*$A76+E$20)</f>
        <v>0.10384208</v>
      </c>
      <c r="F76" s="1" t="n">
        <f aca="false">EXP(F$11*$A76+F$14*SQRT($A76)+F$17*$A76*$A76+F$20)</f>
        <v>0.079898356</v>
      </c>
      <c r="G76" s="1" t="n">
        <f aca="false">EXP(G$11*$A76+G$14*SQRT($A76)+G$17*$A76*$A76+G$20)</f>
        <v>0.081268239</v>
      </c>
      <c r="H76" s="1" t="n">
        <f aca="false">EXP(H$11*$A76+H$14*SQRT($A76)+H$17*$A76*$A76+H$20)</f>
        <v>0.084584859</v>
      </c>
      <c r="I76" s="1" t="n">
        <f aca="false">EXP(I$11*$A76+I$14*SQRT($A76)+I$17*$A76*$A76+I$20)</f>
        <v>0.03337327</v>
      </c>
      <c r="K76" s="1" t="n">
        <v>9</v>
      </c>
      <c r="L76" s="1" t="n">
        <f aca="false">A76</f>
        <v>20</v>
      </c>
      <c r="M76" s="1" t="n">
        <f aca="false">(C76/C$92)*($K76)</f>
        <v>0.92524025</v>
      </c>
      <c r="N76" s="1" t="n">
        <f aca="false">(D76/D$92)*$K76</f>
        <v>1.0623456</v>
      </c>
      <c r="O76" s="1" t="n">
        <f aca="false">(E76/E$92)*$K76</f>
        <v>0.88790183</v>
      </c>
      <c r="P76" s="1" t="n">
        <f aca="false">(F76/F$92)*$K76</f>
        <v>0.61112783</v>
      </c>
      <c r="Q76" s="1" t="n">
        <f aca="false">(G76/G$92)*$K76</f>
        <v>0.63416589</v>
      </c>
      <c r="R76" s="1" t="n">
        <f aca="false">(H76/H$92)*$K76</f>
        <v>0.71312843</v>
      </c>
      <c r="S76" s="1" t="n">
        <f aca="false">(I76/I$92)*$K76</f>
        <v>0.27138763</v>
      </c>
      <c r="V76" s="1" t="n">
        <v>9</v>
      </c>
      <c r="W76" s="1" t="n">
        <f aca="false">L76</f>
        <v>20</v>
      </c>
      <c r="X76" s="1" t="n">
        <f aca="false">(M76/M$92)</f>
        <v>0.075547841</v>
      </c>
      <c r="Y76" s="1" t="n">
        <f aca="false">(N76/N$92)</f>
        <v>0.10853711</v>
      </c>
      <c r="Z76" s="1" t="n">
        <f aca="false">(O76/O$92)</f>
        <v>0.10645428</v>
      </c>
      <c r="AA76" s="1" t="n">
        <f aca="false">(P76/P$92)</f>
        <v>0.11820585</v>
      </c>
      <c r="AB76" s="1" t="n">
        <f aca="false">(Q76/Q$92)</f>
        <v>0.11671891</v>
      </c>
      <c r="AC76" s="1" t="n">
        <f aca="false">(R76/R$92)</f>
        <v>0.10501946</v>
      </c>
      <c r="AD76" s="1" t="n">
        <f aca="false">(S76/S$92)</f>
        <v>0.091891157</v>
      </c>
    </row>
    <row r="77" customFormat="false" ht="16" hidden="false" customHeight="true" outlineLevel="0" collapsed="false">
      <c r="A77" s="1" t="n">
        <v>25</v>
      </c>
      <c r="B77" s="1" t="s">
        <v>15</v>
      </c>
      <c r="C77" s="1" t="n">
        <f aca="false">EXP(C$11*$A77+C$14*SQRT($A77)+C$17*$A77*$A77+C$20)</f>
        <v>0.095847202</v>
      </c>
      <c r="D77" s="1" t="n">
        <f aca="false">EXP(D$11*$A77+D$14*SQRT($A77)+D$17*$A77*$A77+D$20)</f>
        <v>0.0939493</v>
      </c>
      <c r="E77" s="1" t="n">
        <f aca="false">EXP(E$11*$A77+E$14*SQRT($A77)+E$17*$A77*$A77+E$20)</f>
        <v>0.081268239</v>
      </c>
      <c r="F77" s="1" t="n">
        <f aca="false">EXP(F$11*$A77+F$14*SQRT($A77)+F$17*$A77*$A77+F$20)</f>
        <v>0.054095731</v>
      </c>
      <c r="G77" s="1" t="n">
        <f aca="false">EXP(G$11*$A77+G$14*SQRT($A77)+G$17*$A77*$A77+G$20)</f>
        <v>0.056134763</v>
      </c>
      <c r="H77" s="1" t="n">
        <f aca="false">EXP(H$11*$A77+H$14*SQRT($A77)+H$17*$A77*$A77+H$20)</f>
        <v>0.063291768</v>
      </c>
      <c r="I77" s="1" t="n">
        <f aca="false">EXP(I$11*$A77+I$14*SQRT($A77)+I$17*$A77*$A77+I$20)</f>
        <v>0.016490019</v>
      </c>
      <c r="K77" s="1" t="n">
        <v>11</v>
      </c>
      <c r="L77" s="1" t="n">
        <f aca="false">A77</f>
        <v>25</v>
      </c>
      <c r="M77" s="1" t="n">
        <f aca="false">(C77/C$92)*($K77)</f>
        <v>1.1410728</v>
      </c>
      <c r="N77" s="1" t="n">
        <f aca="false">(D77/D$92)*$K77</f>
        <v>1.0672003</v>
      </c>
      <c r="O77" s="1" t="n">
        <f aca="false">(E77/E$92)*$K77</f>
        <v>0.84930286</v>
      </c>
      <c r="P77" s="1" t="n">
        <f aca="false">(F77/F$92)*$K77</f>
        <v>0.50571681</v>
      </c>
      <c r="Q77" s="1" t="n">
        <f aca="false">(G77/G$92)*$K77</f>
        <v>0.53538241</v>
      </c>
      <c r="R77" s="1" t="n">
        <f aca="false">(H77/H$92)*$K77</f>
        <v>0.65218758</v>
      </c>
      <c r="S77" s="1" t="n">
        <f aca="false">(I77/I$92)*$K77</f>
        <v>0.16389383</v>
      </c>
      <c r="V77" s="1" t="n">
        <v>11</v>
      </c>
      <c r="W77" s="1" t="n">
        <f aca="false">L77</f>
        <v>25</v>
      </c>
      <c r="X77" s="1" t="n">
        <f aca="false">(M77/M$92)</f>
        <v>0.093171027</v>
      </c>
      <c r="Y77" s="1" t="n">
        <f aca="false">(N77/N$92)</f>
        <v>0.1090331</v>
      </c>
      <c r="Z77" s="1" t="n">
        <f aca="false">(O77/O$92)</f>
        <v>0.10182649</v>
      </c>
      <c r="AA77" s="1" t="n">
        <f aca="false">(P77/P$92)</f>
        <v>0.097816987</v>
      </c>
      <c r="AB77" s="1" t="n">
        <f aca="false">(Q77/Q$92)</f>
        <v>0.098537704</v>
      </c>
      <c r="AC77" s="1" t="n">
        <f aca="false">(R77/R$92)</f>
        <v>0.096044956</v>
      </c>
      <c r="AD77" s="1" t="n">
        <f aca="false">(S77/S$92)</f>
        <v>0.055494033</v>
      </c>
    </row>
    <row r="78" customFormat="false" ht="16" hidden="false" customHeight="true" outlineLevel="0" collapsed="false">
      <c r="A78" s="1" t="n">
        <v>30</v>
      </c>
      <c r="B78" s="1" t="s">
        <v>15</v>
      </c>
      <c r="C78" s="1" t="n">
        <f aca="false">EXP(C$11*$A78+C$14*SQRT($A78)+C$17*$A78*$A78+C$20)</f>
        <v>0.091721359</v>
      </c>
      <c r="D78" s="1" t="n">
        <f aca="false">EXP(D$11*$A78+D$14*SQRT($A78)+D$17*$A78*$A78+D$20)</f>
        <v>0.07474887</v>
      </c>
      <c r="E78" s="1" t="n">
        <f aca="false">EXP(E$11*$A78+E$14*SQRT($A78)+E$17*$A78*$A78+E$20)</f>
        <v>0.062753858</v>
      </c>
      <c r="F78" s="1" t="n">
        <f aca="false">EXP(F$11*$A78+F$14*SQRT($A78)+F$17*$A78*$A78+F$20)</f>
        <v>0.036625887</v>
      </c>
      <c r="G78" s="1" t="n">
        <f aca="false">EXP(G$11*$A78+G$14*SQRT($A78)+G$17*$A78*$A78+G$20)</f>
        <v>0.038774208</v>
      </c>
      <c r="H78" s="1" t="n">
        <f aca="false">EXP(H$11*$A78+H$14*SQRT($A78)+H$17*$A78*$A78+H$20)</f>
        <v>0.047358924</v>
      </c>
      <c r="I78" s="1" t="n">
        <f aca="false">EXP(I$11*$A78+I$14*SQRT($A78)+I$17*$A78*$A78+I$20)</f>
        <v>0.0081478597</v>
      </c>
      <c r="K78" s="1" t="n">
        <v>13</v>
      </c>
      <c r="L78" s="1" t="n">
        <f aca="false">A78</f>
        <v>30</v>
      </c>
      <c r="M78" s="1" t="n">
        <f aca="false">(C78/C$92)*($K78)</f>
        <v>1.2904912</v>
      </c>
      <c r="N78" s="1" t="n">
        <f aca="false">(D78/D$92)*$K78</f>
        <v>1.0034776</v>
      </c>
      <c r="O78" s="1" t="n">
        <f aca="false">(E78/E$92)*$K78</f>
        <v>0.77505556</v>
      </c>
      <c r="P78" s="1" t="n">
        <f aca="false">(F78/F$92)*$K78</f>
        <v>0.40465342</v>
      </c>
      <c r="Q78" s="1" t="n">
        <f aca="false">(G78/G$92)*$K78</f>
        <v>0.43704465</v>
      </c>
      <c r="R78" s="1" t="n">
        <f aca="false">(H78/H$92)*$K78</f>
        <v>0.57673697</v>
      </c>
      <c r="S78" s="1" t="n">
        <f aca="false">(I78/I$92)*$K78</f>
        <v>0.095705231</v>
      </c>
      <c r="V78" s="1" t="n">
        <v>13</v>
      </c>
      <c r="W78" s="1" t="n">
        <f aca="false">L78</f>
        <v>30</v>
      </c>
      <c r="X78" s="1" t="n">
        <f aca="false">(M78/M$92)</f>
        <v>0.10537136</v>
      </c>
      <c r="Y78" s="1" t="n">
        <f aca="false">(N78/N$92)</f>
        <v>0.10252272</v>
      </c>
      <c r="Z78" s="1" t="n">
        <f aca="false">(O78/O$92)</f>
        <v>0.092924666</v>
      </c>
      <c r="AA78" s="1" t="n">
        <f aca="false">(P78/P$92)</f>
        <v>0.078269057</v>
      </c>
      <c r="AB78" s="1" t="n">
        <f aca="false">(Q78/Q$92)</f>
        <v>0.080438534</v>
      </c>
      <c r="AC78" s="1" t="n">
        <f aca="false">(R78/R$92)</f>
        <v>0.084933658</v>
      </c>
      <c r="AD78" s="1" t="n">
        <f aca="false">(S78/S$92)</f>
        <v>0.032405546</v>
      </c>
    </row>
    <row r="79" customFormat="false" ht="16" hidden="false" customHeight="true" outlineLevel="0" collapsed="false">
      <c r="A79" s="1" t="n">
        <v>35</v>
      </c>
      <c r="B79" s="1" t="s">
        <v>15</v>
      </c>
      <c r="C79" s="1" t="n">
        <f aca="false">EXP(C$11*$A79+C$14*SQRT($A79)+C$17*$A79*$A79+C$20)</f>
        <v>0.083242271</v>
      </c>
      <c r="D79" s="1" t="n">
        <f aca="false">EXP(D$11*$A79+D$14*SQRT($A79)+D$17*$A79*$A79+D$20)</f>
        <v>0.058025264</v>
      </c>
      <c r="E79" s="1" t="n">
        <f aca="false">EXP(E$11*$A79+E$14*SQRT($A79)+E$17*$A79*$A79+E$20)</f>
        <v>0.047967151</v>
      </c>
      <c r="F79" s="1" t="n">
        <f aca="false">EXP(F$11*$A79+F$14*SQRT($A79)+F$17*$A79*$A79+F$20)</f>
        <v>0.024797808</v>
      </c>
      <c r="G79" s="1" t="n">
        <f aca="false">EXP(G$11*$A79+G$14*SQRT($A79)+G$17*$A79*$A79+G$20)</f>
        <v>0.026782676</v>
      </c>
      <c r="H79" s="1" t="n">
        <f aca="false">EXP(H$11*$A79+H$14*SQRT($A79)+H$17*$A79*$A79+H$20)</f>
        <v>0.035436958</v>
      </c>
      <c r="I79" s="1" t="n">
        <f aca="false">EXP(I$11*$A79+I$14*SQRT($A79)+I$17*$A79*$A79+I$20)</f>
        <v>0.0040259273</v>
      </c>
      <c r="K79" s="1" t="n">
        <v>15</v>
      </c>
      <c r="L79" s="1" t="n">
        <f aca="false">A79</f>
        <v>35</v>
      </c>
      <c r="M79" s="1" t="n">
        <f aca="false">(C79/C$92)*($K79)</f>
        <v>1.3513766</v>
      </c>
      <c r="N79" s="1" t="n">
        <f aca="false">(D79/D$92)*$K79</f>
        <v>0.89881038</v>
      </c>
      <c r="O79" s="1" t="n">
        <f aca="false">(E79/E$92)*$K79</f>
        <v>0.68357195</v>
      </c>
      <c r="P79" s="1" t="n">
        <f aca="false">(F79/F$92)*$K79</f>
        <v>0.31612313</v>
      </c>
      <c r="Q79" s="1" t="n">
        <f aca="false">(G79/G$92)*$K79</f>
        <v>0.34832509</v>
      </c>
      <c r="R79" s="1" t="n">
        <f aca="false">(H79/H$92)*$K79</f>
        <v>0.49794377</v>
      </c>
      <c r="S79" s="1" t="n">
        <f aca="false">(I79/I$92)*$K79</f>
        <v>0.054563971</v>
      </c>
      <c r="V79" s="1" t="n">
        <v>15</v>
      </c>
      <c r="W79" s="1" t="n">
        <f aca="false">L79</f>
        <v>35</v>
      </c>
      <c r="X79" s="1" t="n">
        <f aca="false">(M79/M$92)</f>
        <v>0.11034278</v>
      </c>
      <c r="Y79" s="1" t="n">
        <f aca="false">(N79/N$92)</f>
        <v>0.091829142</v>
      </c>
      <c r="Z79" s="1" t="n">
        <f aca="false">(O79/O$92)</f>
        <v>0.081956313</v>
      </c>
      <c r="AA79" s="1" t="n">
        <f aca="false">(P79/P$92)</f>
        <v>0.061145311</v>
      </c>
      <c r="AB79" s="1" t="n">
        <f aca="false">(Q79/Q$92)</f>
        <v>0.064109604</v>
      </c>
      <c r="AC79" s="1" t="n">
        <f aca="false">(R79/R$92)</f>
        <v>0.07333011</v>
      </c>
      <c r="AD79" s="1" t="n">
        <f aca="false">(S79/S$92)</f>
        <v>0.018475221</v>
      </c>
    </row>
    <row r="80" customFormat="false" ht="16" hidden="false" customHeight="true" outlineLevel="0" collapsed="false">
      <c r="A80" s="1" t="n">
        <v>40</v>
      </c>
      <c r="B80" s="1" t="s">
        <v>15</v>
      </c>
      <c r="C80" s="1" t="n">
        <f aca="false">EXP(C$11*$A80+C$14*SQRT($A80)+C$17*$A80*$A80+C$20)</f>
        <v>0.071647286</v>
      </c>
      <c r="D80" s="1" t="n">
        <f aca="false">EXP(D$11*$A80+D$14*SQRT($A80)+D$17*$A80*$A80+D$20)</f>
        <v>0.044173267</v>
      </c>
      <c r="E80" s="1" t="n">
        <f aca="false">EXP(E$11*$A80+E$14*SQRT($A80)+E$17*$A80*$A80+E$20)</f>
        <v>0.036370661</v>
      </c>
      <c r="F80" s="1" t="n">
        <f aca="false">EXP(F$11*$A80+F$14*SQRT($A80)+F$17*$A80*$A80+F$20)</f>
        <v>0.016789527</v>
      </c>
      <c r="G80" s="1" t="n">
        <f aca="false">EXP(G$11*$A80+G$14*SQRT($A80)+G$17*$A80*$A80+G$20)</f>
        <v>0.018499714</v>
      </c>
      <c r="H80" s="1" t="n">
        <f aca="false">EXP(H$11*$A80+H$14*SQRT($A80)+H$17*$A80*$A80+H$20)</f>
        <v>0.026516184</v>
      </c>
      <c r="I80" s="1" t="n">
        <f aca="false">EXP(I$11*$A80+I$14*SQRT($A80)+I$17*$A80*$A80+I$20)</f>
        <v>0.0019892452</v>
      </c>
      <c r="K80" s="1" t="n">
        <v>17</v>
      </c>
      <c r="L80" s="1" t="n">
        <f aca="false">A80</f>
        <v>40</v>
      </c>
      <c r="M80" s="1" t="n">
        <f aca="false">(C80/C$92)*($K80)</f>
        <v>1.318226</v>
      </c>
      <c r="N80" s="1" t="n">
        <f aca="false">(D80/D$92)*$K80</f>
        <v>0.77547561</v>
      </c>
      <c r="O80" s="1" t="n">
        <f aca="false">(E80/E$92)*$K80</f>
        <v>0.5874206</v>
      </c>
      <c r="P80" s="1" t="n">
        <f aca="false">(F80/F$92)*$K80</f>
        <v>0.24257111</v>
      </c>
      <c r="Q80" s="1" t="n">
        <f aca="false">(G80/G$92)*$K80</f>
        <v>0.27268011</v>
      </c>
      <c r="R80" s="1" t="n">
        <f aca="false">(H80/H$92)*$K80</f>
        <v>0.42227227</v>
      </c>
      <c r="S80" s="1" t="n">
        <f aca="false">(I80/I$92)*$K80</f>
        <v>0.030555263</v>
      </c>
      <c r="V80" s="1" t="n">
        <v>17</v>
      </c>
      <c r="W80" s="1" t="n">
        <f aca="false">L80</f>
        <v>40</v>
      </c>
      <c r="X80" s="1" t="n">
        <f aca="false">(M80/M$92)</f>
        <v>0.10763597</v>
      </c>
      <c r="Y80" s="1" t="n">
        <f aca="false">(N80/N$92)</f>
        <v>0.079228346</v>
      </c>
      <c r="Z80" s="1" t="n">
        <f aca="false">(O80/O$92)</f>
        <v>0.070428323</v>
      </c>
      <c r="AA80" s="1" t="n">
        <f aca="false">(P80/P$92)</f>
        <v>0.046918701</v>
      </c>
      <c r="AB80" s="1" t="n">
        <f aca="false">(Q80/Q$92)</f>
        <v>0.050187065</v>
      </c>
      <c r="AC80" s="1" t="n">
        <f aca="false">(R80/R$92)</f>
        <v>0.062186283</v>
      </c>
      <c r="AD80" s="1" t="n">
        <f aca="false">(S80/S$92)</f>
        <v>0.010345934</v>
      </c>
    </row>
    <row r="81" customFormat="false" ht="16" hidden="false" customHeight="true" outlineLevel="0" collapsed="false">
      <c r="A81" s="1" t="n">
        <v>45</v>
      </c>
      <c r="B81" s="1" t="s">
        <v>15</v>
      </c>
      <c r="C81" s="1" t="n">
        <f aca="false">EXP(C$11*$A81+C$14*SQRT($A81)+C$17*$A81*$A81+C$20)</f>
        <v>0.058484121</v>
      </c>
      <c r="D81" s="1" t="n">
        <f aca="false">EXP(D$11*$A81+D$14*SQRT($A81)+D$17*$A81*$A81+D$20)</f>
        <v>0.033096323</v>
      </c>
      <c r="E81" s="1" t="n">
        <f aca="false">EXP(E$11*$A81+E$14*SQRT($A81)+E$17*$A81*$A81+E$20)</f>
        <v>0.027396885</v>
      </c>
      <c r="F81" s="1" t="n">
        <f aca="false">EXP(F$11*$A81+F$14*SQRT($A81)+F$17*$A81*$A81+F$20)</f>
        <v>0.011367464</v>
      </c>
      <c r="G81" s="1" t="n">
        <f aca="false">EXP(G$11*$A81+G$14*SQRT($A81)+G$17*$A81*$A81+G$20)</f>
        <v>0.012778388</v>
      </c>
      <c r="H81" s="1" t="n">
        <f aca="false">EXP(H$11*$A81+H$14*SQRT($A81)+H$17*$A81*$A81+H$20)</f>
        <v>0.019841095</v>
      </c>
      <c r="I81" s="1" t="n">
        <f aca="false">EXP(I$11*$A81+I$14*SQRT($A81)+I$17*$A81*$A81+I$20)</f>
        <v>0.00098290312</v>
      </c>
      <c r="K81" s="1" t="n">
        <v>19</v>
      </c>
      <c r="L81" s="1" t="n">
        <f aca="false">A81</f>
        <v>45</v>
      </c>
      <c r="M81" s="1" t="n">
        <f aca="false">(C81/C$92)*($K81)</f>
        <v>1.2026321</v>
      </c>
      <c r="N81" s="1" t="n">
        <f aca="false">(D81/D$92)*$K81</f>
        <v>0.64937124</v>
      </c>
      <c r="O81" s="1" t="n">
        <f aca="false">(E81/E$92)*$K81</f>
        <v>0.49454275</v>
      </c>
      <c r="P81" s="1" t="n">
        <f aca="false">(F81/F$92)*$K81</f>
        <v>0.18355614</v>
      </c>
      <c r="Q81" s="1" t="n">
        <f aca="false">(G81/G$92)*$K81</f>
        <v>0.21050828</v>
      </c>
      <c r="R81" s="1" t="n">
        <f aca="false">(H81/H$92)*$K81</f>
        <v>0.35314401</v>
      </c>
      <c r="S81" s="1" t="n">
        <f aca="false">(I81/I$92)*$K81</f>
        <v>0.016873808</v>
      </c>
      <c r="V81" s="1" t="n">
        <v>19</v>
      </c>
      <c r="W81" s="1" t="n">
        <f aca="false">L81</f>
        <v>45</v>
      </c>
      <c r="X81" s="1" t="n">
        <f aca="false">(M81/M$92)</f>
        <v>0.098197476</v>
      </c>
      <c r="Y81" s="1" t="n">
        <f aca="false">(N81/N$92)</f>
        <v>0.066344587</v>
      </c>
      <c r="Z81" s="1" t="n">
        <f aca="false">(O81/O$92)</f>
        <v>0.059292808</v>
      </c>
      <c r="AA81" s="1" t="n">
        <f aca="false">(P81/P$92)</f>
        <v>0.035503879</v>
      </c>
      <c r="AB81" s="1" t="n">
        <f aca="false">(Q81/Q$92)</f>
        <v>0.038744274</v>
      </c>
      <c r="AC81" s="1" t="n">
        <f aca="false">(R81/R$92)</f>
        <v>0.052006051</v>
      </c>
      <c r="AD81" s="1" t="n">
        <f aca="false">(S81/S$92)</f>
        <v>0.0057134281</v>
      </c>
    </row>
    <row r="82" customFormat="false" ht="16" hidden="false" customHeight="true" outlineLevel="0" collapsed="false">
      <c r="A82" s="1" t="n">
        <v>50</v>
      </c>
      <c r="B82" s="1" t="s">
        <v>15</v>
      </c>
      <c r="C82" s="1" t="n">
        <f aca="false">EXP(C$11*$A82+C$14*SQRT($A82)+C$17*$A82*$A82+C$20)</f>
        <v>0.045275012</v>
      </c>
      <c r="D82" s="1" t="n">
        <f aca="false">EXP(D$11*$A82+D$14*SQRT($A82)+D$17*$A82*$A82+D$20)</f>
        <v>0.024468359</v>
      </c>
      <c r="E82" s="1" t="n">
        <f aca="false">EXP(E$11*$A82+E$14*SQRT($A82)+E$17*$A82*$A82+E$20)</f>
        <v>0.020523863</v>
      </c>
      <c r="F82" s="1" t="n">
        <f aca="false">EXP(F$11*$A82+F$14*SQRT($A82)+F$17*$A82*$A82+F$20)</f>
        <v>0.0076964199</v>
      </c>
      <c r="G82" s="1" t="n">
        <f aca="false">EXP(G$11*$A82+G$14*SQRT($A82)+G$17*$A82*$A82+G$20)</f>
        <v>0.008826471</v>
      </c>
      <c r="H82" s="1" t="n">
        <f aca="false">EXP(H$11*$A82+H$14*SQRT($A82)+H$17*$A82*$A82+H$20)</f>
        <v>0.014846368</v>
      </c>
      <c r="I82" s="1" t="n">
        <f aca="false">EXP(I$11*$A82+I$14*SQRT($A82)+I$17*$A82*$A82+I$20)</f>
        <v>0.00048566086</v>
      </c>
      <c r="K82" s="1" t="n">
        <v>21</v>
      </c>
      <c r="L82" s="1" t="n">
        <f aca="false">A82</f>
        <v>50</v>
      </c>
      <c r="M82" s="1" t="n">
        <f aca="false">(C82/C$92)*($K82)</f>
        <v>1.0290088</v>
      </c>
      <c r="N82" s="1" t="n">
        <f aca="false">(D82/D$92)*$K82</f>
        <v>0.53062027</v>
      </c>
      <c r="O82" s="1" t="n">
        <f aca="false">(E82/E$92)*$K82</f>
        <v>0.40947506</v>
      </c>
      <c r="P82" s="1" t="n">
        <f aca="false">(F82/F$92)*$K82</f>
        <v>0.13735984</v>
      </c>
      <c r="Q82" s="1" t="n">
        <f aca="false">(G82/G$92)*$K82</f>
        <v>0.16071112</v>
      </c>
      <c r="R82" s="1" t="n">
        <f aca="false">(H82/H$92)*$K82</f>
        <v>0.29206004</v>
      </c>
      <c r="S82" s="1" t="n">
        <f aca="false">(I82/I$92)*$K82</f>
        <v>0.0092151239</v>
      </c>
      <c r="V82" s="1" t="n">
        <v>21</v>
      </c>
      <c r="W82" s="1" t="n">
        <f aca="false">L82</f>
        <v>50</v>
      </c>
      <c r="X82" s="1" t="n">
        <f aca="false">(M82/M$92)</f>
        <v>0.084020765</v>
      </c>
      <c r="Y82" s="1" t="n">
        <f aca="false">(N82/N$92)</f>
        <v>0.054212106</v>
      </c>
      <c r="Z82" s="1" t="n">
        <f aca="false">(O82/O$92)</f>
        <v>0.049093684</v>
      </c>
      <c r="AA82" s="1" t="n">
        <f aca="false">(P82/P$92)</f>
        <v>0.026568477</v>
      </c>
      <c r="AB82" s="1" t="n">
        <f aca="false">(Q82/Q$92)</f>
        <v>0.029579052</v>
      </c>
      <c r="AC82" s="1" t="n">
        <f aca="false">(R82/R$92)</f>
        <v>0.043010469</v>
      </c>
      <c r="AD82" s="1" t="n">
        <f aca="false">(S82/S$92)</f>
        <v>0.0031202173</v>
      </c>
    </row>
    <row r="83" customFormat="false" ht="16" hidden="false" customHeight="true" outlineLevel="0" collapsed="false">
      <c r="A83" s="1" t="n">
        <v>55</v>
      </c>
      <c r="B83" s="1" t="s">
        <v>15</v>
      </c>
      <c r="C83" s="1" t="n">
        <f aca="false">EXP(C$11*$A83+C$14*SQRT($A83)+C$17*$A83*$A83+C$20)</f>
        <v>0.033240044</v>
      </c>
      <c r="D83" s="1" t="n">
        <f aca="false">EXP(D$11*$A83+D$14*SQRT($A83)+D$17*$A83*$A83+D$20)</f>
        <v>0.017884863</v>
      </c>
      <c r="E83" s="1" t="n">
        <f aca="false">EXP(E$11*$A83+E$14*SQRT($A83)+E$17*$A83*$A83+E$20)</f>
        <v>0.015302985</v>
      </c>
      <c r="F83" s="1" t="n">
        <f aca="false">EXP(F$11*$A83+F$14*SQRT($A83)+F$17*$A83*$A83+F$20)</f>
        <v>0.005210914</v>
      </c>
      <c r="G83" s="1" t="n">
        <f aca="false">EXP(G$11*$A83+G$14*SQRT($A83)+G$17*$A83*$A83+G$20)</f>
        <v>0.0060967466</v>
      </c>
      <c r="H83" s="1" t="n">
        <f aca="false">EXP(H$11*$A83+H$14*SQRT($A83)+H$17*$A83*$A83+H$20)</f>
        <v>0.011108997</v>
      </c>
      <c r="I83" s="1" t="n">
        <f aca="false">EXP(I$11*$A83+I$14*SQRT($A83)+I$17*$A83*$A83+I$20)</f>
        <v>0.00023996919</v>
      </c>
      <c r="K83" s="1" t="n">
        <v>23</v>
      </c>
      <c r="L83" s="1" t="n">
        <f aca="false">A83</f>
        <v>55</v>
      </c>
      <c r="M83" s="1" t="n">
        <f aca="false">(C83/C$92)*($K83)</f>
        <v>0.82742881</v>
      </c>
      <c r="N83" s="1" t="n">
        <f aca="false">(D83/D$92)*$K83</f>
        <v>0.42478889</v>
      </c>
      <c r="O83" s="1" t="n">
        <f aca="false">(E83/E$92)*$K83</f>
        <v>0.3343898</v>
      </c>
      <c r="P83" s="1" t="n">
        <f aca="false">(F83/F$92)*$K83</f>
        <v>0.1018576</v>
      </c>
      <c r="Q83" s="1" t="n">
        <f aca="false">(G83/G$92)*$K83</f>
        <v>0.12158094</v>
      </c>
      <c r="R83" s="1" t="n">
        <f aca="false">(H83/H$92)*$K83</f>
        <v>0.23935102</v>
      </c>
      <c r="S83" s="1" t="n">
        <f aca="false">(I83/I$92)*$K83</f>
        <v>0.0049869166</v>
      </c>
      <c r="V83" s="1" t="n">
        <v>23</v>
      </c>
      <c r="W83" s="1" t="n">
        <f aca="false">L83</f>
        <v>55</v>
      </c>
      <c r="X83" s="1" t="n">
        <f aca="false">(M83/M$92)</f>
        <v>0.067561328</v>
      </c>
      <c r="Y83" s="1" t="n">
        <f aca="false">(N83/N$92)</f>
        <v>0.043399587</v>
      </c>
      <c r="Z83" s="1" t="n">
        <f aca="false">(O83/O$92)</f>
        <v>0.040091398</v>
      </c>
      <c r="AA83" s="1" t="n">
        <f aca="false">(P83/P$92)</f>
        <v>0.019701548</v>
      </c>
      <c r="AB83" s="1" t="n">
        <f aca="false">(Q83/Q$92)</f>
        <v>0.022377102</v>
      </c>
      <c r="AC83" s="1" t="n">
        <f aca="false">(R83/R$92)</f>
        <v>0.03524823</v>
      </c>
      <c r="AD83" s="1" t="n">
        <f aca="false">(S83/S$92)</f>
        <v>0.0016885572</v>
      </c>
    </row>
    <row r="84" customFormat="false" ht="16" hidden="false" customHeight="true" outlineLevel="0" collapsed="false">
      <c r="A84" s="1" t="n">
        <v>60</v>
      </c>
      <c r="B84" s="1" t="s">
        <v>15</v>
      </c>
      <c r="C84" s="1" t="n">
        <f aca="false">EXP(C$11*$A84+C$14*SQRT($A84)+C$17*$A84*$A84+C$20)</f>
        <v>0.023144456</v>
      </c>
      <c r="D84" s="1" t="n">
        <f aca="false">EXP(D$11*$A84+D$14*SQRT($A84)+D$17*$A84*$A84+D$20)</f>
        <v>0.012944434</v>
      </c>
      <c r="E84" s="1" t="n">
        <f aca="false">EXP(E$11*$A84+E$14*SQRT($A84)+E$17*$A84*$A84+E$20)</f>
        <v>0.011363841</v>
      </c>
      <c r="F84" s="1" t="n">
        <f aca="false">EXP(F$11*$A84+F$14*SQRT($A84)+F$17*$A84*$A84+F$20)</f>
        <v>0.0035280852</v>
      </c>
      <c r="G84" s="1" t="n">
        <f aca="false">EXP(G$11*$A84+G$14*SQRT($A84)+G$17*$A84*$A84+G$20)</f>
        <v>0.0042112322</v>
      </c>
      <c r="H84" s="1" t="n">
        <f aca="false">EXP(H$11*$A84+H$14*SQRT($A84)+H$17*$A84*$A84+H$20)</f>
        <v>0.0083124574</v>
      </c>
      <c r="I84" s="1" t="n">
        <f aca="false">EXP(I$11*$A84+I$14*SQRT($A84)+I$17*$A84*$A84+I$20)</f>
        <v>0.00011857084</v>
      </c>
      <c r="K84" s="1" t="n">
        <v>25</v>
      </c>
      <c r="L84" s="1" t="n">
        <f aca="false">A84</f>
        <v>60</v>
      </c>
      <c r="M84" s="1" t="n">
        <f aca="false">(C84/C$92)*($K84)</f>
        <v>0.62622184</v>
      </c>
      <c r="N84" s="1" t="n">
        <f aca="false">(D84/D$92)*$K84</f>
        <v>0.33418178</v>
      </c>
      <c r="O84" s="1" t="n">
        <f aca="false">(E84/E$92)*$K84</f>
        <v>0.26990703</v>
      </c>
      <c r="P84" s="1" t="n">
        <f aca="false">(F84/F$92)*$K84</f>
        <v>0.074960207</v>
      </c>
      <c r="Q84" s="1" t="n">
        <f aca="false">(G84/G$92)*$K84</f>
        <v>0.09128275</v>
      </c>
      <c r="R84" s="1" t="n">
        <f aca="false">(H84/H$92)*$K84</f>
        <v>0.19467135</v>
      </c>
      <c r="S84" s="1" t="n">
        <f aca="false">(I84/I$92)*$K84</f>
        <v>0.0026783459</v>
      </c>
      <c r="V84" s="1" t="n">
        <v>25</v>
      </c>
      <c r="W84" s="1" t="n">
        <f aca="false">L84</f>
        <v>60</v>
      </c>
      <c r="X84" s="1" t="n">
        <f aca="false">(M84/M$92)</f>
        <v>0.051132349</v>
      </c>
      <c r="Y84" s="1" t="n">
        <f aca="false">(N84/N$92)</f>
        <v>0.034142492</v>
      </c>
      <c r="Z84" s="1" t="n">
        <f aca="false">(O84/O$92)</f>
        <v>0.032360288</v>
      </c>
      <c r="AA84" s="1" t="n">
        <f aca="false">(P84/P$92)</f>
        <v>0.014498987</v>
      </c>
      <c r="AB84" s="1" t="n">
        <f aca="false">(Q84/Q$92)</f>
        <v>0.016800688</v>
      </c>
      <c r="AC84" s="1" t="n">
        <f aca="false">(R84/R$92)</f>
        <v>0.028668442</v>
      </c>
      <c r="AD84" s="1" t="n">
        <f aca="false">(S84/S$92)</f>
        <v>0.00090688108</v>
      </c>
    </row>
    <row r="85" customFormat="false" ht="16" hidden="false" customHeight="true" outlineLevel="0" collapsed="false">
      <c r="A85" s="1" t="n">
        <v>65</v>
      </c>
      <c r="B85" s="1" t="s">
        <v>15</v>
      </c>
      <c r="C85" s="1" t="n">
        <f aca="false">EXP(C$11*$A85+C$14*SQRT($A85)+C$17*$A85*$A85+C$20)</f>
        <v>0.015283217</v>
      </c>
      <c r="D85" s="1" t="n">
        <f aca="false">EXP(D$11*$A85+D$14*SQRT($A85)+D$17*$A85*$A85+D$20)</f>
        <v>0.009288014</v>
      </c>
      <c r="E85" s="1" t="n">
        <f aca="false">EXP(E$11*$A85+E$14*SQRT($A85)+E$17*$A85*$A85+E$20)</f>
        <v>0.0084085881</v>
      </c>
      <c r="F85" s="1" t="n">
        <f aca="false">EXP(F$11*$A85+F$14*SQRT($A85)+F$17*$A85*$A85+F$20)</f>
        <v>0.0023887143</v>
      </c>
      <c r="G85" s="1" t="n">
        <f aca="false">EXP(G$11*$A85+G$14*SQRT($A85)+G$17*$A85*$A85+G$20)</f>
        <v>0.0029088426</v>
      </c>
      <c r="H85" s="1" t="n">
        <f aca="false">EXP(H$11*$A85+H$14*SQRT($A85)+H$17*$A85*$A85+H$20)</f>
        <v>0.006219909</v>
      </c>
      <c r="I85" s="1" t="n">
        <f aca="false">EXP(I$11*$A85+I$14*SQRT($A85)+I$17*$A85*$A85+I$20)</f>
        <v>5.8586867E-005</v>
      </c>
      <c r="K85" s="1" t="n">
        <v>27</v>
      </c>
      <c r="L85" s="1" t="n">
        <f aca="false">A85</f>
        <v>65</v>
      </c>
      <c r="M85" s="1" t="n">
        <f aca="false">(C85/C$92)*($K85)</f>
        <v>0.44660107</v>
      </c>
      <c r="N85" s="1" t="n">
        <f aca="false">(D85/D$92)*$K85</f>
        <v>0.25896813</v>
      </c>
      <c r="O85" s="1" t="n">
        <f aca="false">(E85/E$92)*$K85</f>
        <v>0.21569292</v>
      </c>
      <c r="P85" s="1" t="n">
        <f aca="false">(F85/F$92)*$K85</f>
        <v>0.05481251</v>
      </c>
      <c r="Q85" s="1" t="n">
        <f aca="false">(G85/G$92)*$K85</f>
        <v>0.068096299</v>
      </c>
      <c r="R85" s="1" t="n">
        <f aca="false">(H85/H$92)*$K85</f>
        <v>0.15731872</v>
      </c>
      <c r="S85" s="1" t="n">
        <f aca="false">(I85/I$92)*$K85</f>
        <v>0.0014292652</v>
      </c>
      <c r="V85" s="1" t="n">
        <v>27</v>
      </c>
      <c r="W85" s="1" t="n">
        <f aca="false">L85</f>
        <v>65</v>
      </c>
      <c r="X85" s="1" t="n">
        <f aca="false">(M85/M$92)</f>
        <v>0.03646593</v>
      </c>
      <c r="Y85" s="1" t="n">
        <f aca="false">(N85/N$92)</f>
        <v>0.026458107</v>
      </c>
      <c r="Z85" s="1" t="n">
        <f aca="false">(O85/O$92)</f>
        <v>0.025860331</v>
      </c>
      <c r="AA85" s="1" t="n">
        <f aca="false">(P85/P$92)</f>
        <v>0.01060197</v>
      </c>
      <c r="AB85" s="1" t="n">
        <f aca="false">(Q85/Q$92)</f>
        <v>0.012533197</v>
      </c>
      <c r="AC85" s="1" t="n">
        <f aca="false">(R85/R$92)</f>
        <v>0.023167675</v>
      </c>
      <c r="AD85" s="1" t="n">
        <f aca="false">(S85/S$92)</f>
        <v>0.00048394553</v>
      </c>
    </row>
    <row r="86" customFormat="false" ht="16" hidden="false" customHeight="true" outlineLevel="0" collapsed="false">
      <c r="A86" s="1" t="n">
        <v>70</v>
      </c>
      <c r="B86" s="1" t="s">
        <v>15</v>
      </c>
      <c r="C86" s="1" t="n">
        <f aca="false">EXP(C$11*$A86+C$14*SQRT($A86)+C$17*$A86*$A86+C$20)</f>
        <v>0.0095711683</v>
      </c>
      <c r="D86" s="1" t="n">
        <f aca="false">EXP(D$11*$A86+D$14*SQRT($A86)+D$17*$A86*$A86+D$20)</f>
        <v>0.0066134976</v>
      </c>
      <c r="E86" s="1" t="n">
        <f aca="false">EXP(E$11*$A86+E$14*SQRT($A86)+E$17*$A86*$A86+E$20)</f>
        <v>0.0062022017</v>
      </c>
      <c r="F86" s="1" t="n">
        <f aca="false">EXP(F$11*$A86+F$14*SQRT($A86)+F$17*$A86*$A86+F$20)</f>
        <v>0.0016172955</v>
      </c>
      <c r="G86" s="1" t="n">
        <f aca="false">EXP(G$11*$A86+G$14*SQRT($A86)+G$17*$A86*$A86+G$20)</f>
        <v>0.0020092375</v>
      </c>
      <c r="H86" s="1" t="n">
        <f aca="false">EXP(H$11*$A86+H$14*SQRT($A86)+H$17*$A86*$A86+H$20)</f>
        <v>0.0046541313</v>
      </c>
      <c r="I86" s="1" t="n">
        <f aca="false">EXP(I$11*$A86+I$14*SQRT($A86)+I$17*$A86*$A86+I$20)</f>
        <v>2.8948273E-005</v>
      </c>
      <c r="K86" s="1" t="n">
        <v>29</v>
      </c>
      <c r="L86" s="1" t="n">
        <f aca="false">A86</f>
        <v>70</v>
      </c>
      <c r="M86" s="1" t="n">
        <f aca="false">(C86/C$92)*($K86)</f>
        <v>0.30040294</v>
      </c>
      <c r="N86" s="1" t="n">
        <f aca="false">(D86/D$92)*$K86</f>
        <v>0.19805641</v>
      </c>
      <c r="O86" s="1" t="n">
        <f aca="false">(E86/E$92)*$K86</f>
        <v>0.17088067</v>
      </c>
      <c r="P86" s="1" t="n">
        <f aca="false">(F86/F$92)*$K86</f>
        <v>0.039860163</v>
      </c>
      <c r="Q86" s="1" t="n">
        <f aca="false">(G86/G$92)*$K86</f>
        <v>0.050520633</v>
      </c>
      <c r="R86" s="1" t="n">
        <f aca="false">(H86/H$92)*$K86</f>
        <v>0.12643556</v>
      </c>
      <c r="S86" s="1" t="n">
        <f aca="false">(I86/I$92)*$K86</f>
        <v>0.0007585242</v>
      </c>
      <c r="V86" s="1" t="n">
        <v>29</v>
      </c>
      <c r="W86" s="1" t="n">
        <f aca="false">L86</f>
        <v>70</v>
      </c>
      <c r="X86" s="1" t="n">
        <f aca="false">(M86/M$92)</f>
        <v>0.024528541</v>
      </c>
      <c r="Y86" s="1" t="n">
        <f aca="false">(N86/N$92)</f>
        <v>0.020234913</v>
      </c>
      <c r="Z86" s="1" t="n">
        <f aca="false">(O86/O$92)</f>
        <v>0.020487601</v>
      </c>
      <c r="AA86" s="1" t="n">
        <f aca="false">(P86/P$92)</f>
        <v>0.0077098506</v>
      </c>
      <c r="AB86" s="1" t="n">
        <f aca="false">(Q86/Q$92)</f>
        <v>0.0092983765</v>
      </c>
      <c r="AC86" s="1" t="n">
        <f aca="false">(R86/R$92)</f>
        <v>0.01861964</v>
      </c>
      <c r="AD86" s="1" t="n">
        <f aca="false">(S86/S$92)</f>
        <v>0.00025683435</v>
      </c>
    </row>
    <row r="87" customFormat="false" ht="16" hidden="false" customHeight="true" outlineLevel="0" collapsed="false">
      <c r="A87" s="1" t="n">
        <v>75</v>
      </c>
      <c r="B87" s="1" t="s">
        <v>15</v>
      </c>
      <c r="C87" s="1" t="n">
        <f aca="false">EXP(C$11*$A87+C$14*SQRT($A87)+C$17*$A87*$A87+C$20)</f>
        <v>0.0056845688</v>
      </c>
      <c r="D87" s="1" t="n">
        <f aca="false">EXP(D$11*$A87+D$14*SQRT($A87)+D$17*$A87*$A87+D$20)</f>
        <v>0.0046769134</v>
      </c>
      <c r="E87" s="1" t="n">
        <f aca="false">EXP(E$11*$A87+E$14*SQRT($A87)+E$17*$A87*$A87+E$20)</f>
        <v>0.0045618243</v>
      </c>
      <c r="F87" s="1" t="n">
        <f aca="false">EXP(F$11*$A87+F$14*SQRT($A87)+F$17*$A87*$A87+F$20)</f>
        <v>0.001095001</v>
      </c>
      <c r="G87" s="1" t="n">
        <f aca="false">EXP(G$11*$A87+G$14*SQRT($A87)+G$17*$A87*$A87+G$20)</f>
        <v>0.0013878493</v>
      </c>
      <c r="H87" s="1" t="n">
        <f aca="false">EXP(H$11*$A87+H$14*SQRT($A87)+H$17*$A87*$A87+H$20)</f>
        <v>0.0034825169</v>
      </c>
      <c r="I87" s="1" t="n">
        <f aca="false">EXP(I$11*$A87+I$14*SQRT($A87)+I$17*$A87*$A87+I$20)</f>
        <v>1.430359E-005</v>
      </c>
      <c r="K87" s="1" t="n">
        <v>31</v>
      </c>
      <c r="L87" s="1" t="n">
        <f aca="false">A87</f>
        <v>75</v>
      </c>
      <c r="M87" s="1" t="n">
        <f aca="false">(C87/C$92)*($K87)</f>
        <v>0.19072185</v>
      </c>
      <c r="N87" s="1" t="n">
        <f aca="false">(D87/D$92)*$K87</f>
        <v>0.14972031</v>
      </c>
      <c r="O87" s="1" t="n">
        <f aca="false">(E87/E$92)*$K87</f>
        <v>0.1343536</v>
      </c>
      <c r="P87" s="1" t="n">
        <f aca="false">(F87/F$92)*$K87</f>
        <v>0.028848811</v>
      </c>
      <c r="Q87" s="1" t="n">
        <f aca="false">(G87/G$92)*$K87</f>
        <v>0.03730298</v>
      </c>
      <c r="R87" s="1" t="n">
        <f aca="false">(H87/H$92)*$K87</f>
        <v>0.10113175</v>
      </c>
      <c r="S87" s="1" t="n">
        <f aca="false">(I87/I$92)*$K87</f>
        <v>0.00040064113</v>
      </c>
      <c r="V87" s="1" t="n">
        <v>31</v>
      </c>
      <c r="W87" s="1" t="n">
        <f aca="false">L87</f>
        <v>75</v>
      </c>
      <c r="X87" s="1" t="n">
        <f aca="false">(M87/M$92)</f>
        <v>0.015572846</v>
      </c>
      <c r="Y87" s="1" t="n">
        <f aca="false">(N87/N$92)</f>
        <v>0.015296539</v>
      </c>
      <c r="Z87" s="1" t="n">
        <f aca="false">(O87/O$92)</f>
        <v>0.016108217</v>
      </c>
      <c r="AA87" s="1" t="n">
        <f aca="false">(P87/P$92)</f>
        <v>0.0055800079</v>
      </c>
      <c r="AB87" s="1" t="n">
        <f aca="false">(Q87/Q$92)</f>
        <v>0.0068656533</v>
      </c>
      <c r="AC87" s="1" t="n">
        <f aca="false">(R87/R$92)</f>
        <v>0.014893253</v>
      </c>
      <c r="AD87" s="1" t="n">
        <f aca="false">(S87/S$92)</f>
        <v>0.00013565606</v>
      </c>
    </row>
    <row r="88" customFormat="false" ht="16" hidden="false" customHeight="true" outlineLevel="0" collapsed="false">
      <c r="A88" s="1" t="n">
        <v>80</v>
      </c>
      <c r="B88" s="1" t="s">
        <v>15</v>
      </c>
      <c r="C88" s="1" t="n">
        <f aca="false">EXP(C$11*$A88+C$14*SQRT($A88)+C$17*$A88*$A88+C$20)</f>
        <v>0.0032019349</v>
      </c>
      <c r="D88" s="1" t="n">
        <f aca="false">EXP(D$11*$A88+D$14*SQRT($A88)+D$17*$A88*$A88+D$20)</f>
        <v>0.0032870084</v>
      </c>
      <c r="E88" s="1" t="n">
        <f aca="false">EXP(E$11*$A88+E$14*SQRT($A88)+E$17*$A88*$A88+E$20)</f>
        <v>0.003346742</v>
      </c>
      <c r="F88" s="1" t="n">
        <f aca="false">EXP(F$11*$A88+F$14*SQRT($A88)+F$17*$A88*$A88+F$20)</f>
        <v>0.00074137796</v>
      </c>
      <c r="G88" s="1" t="n">
        <f aca="false">EXP(G$11*$A88+G$14*SQRT($A88)+G$17*$A88*$A88+G$20)</f>
        <v>0.00095863515</v>
      </c>
      <c r="H88" s="1" t="n">
        <f aca="false">EXP(H$11*$A88+H$14*SQRT($A88)+H$17*$A88*$A88+H$20)</f>
        <v>0.0026058405</v>
      </c>
      <c r="I88" s="1" t="n">
        <f aca="false">EXP(I$11*$A88+I$14*SQRT($A88)+I$17*$A88*$A88+I$20)</f>
        <v>7.0675265E-006</v>
      </c>
      <c r="K88" s="1" t="n">
        <v>33</v>
      </c>
      <c r="L88" s="1" t="n">
        <f aca="false">A88</f>
        <v>80</v>
      </c>
      <c r="M88" s="1" t="n">
        <f aca="false">(C88/C$92)*($K88)</f>
        <v>0.11435829</v>
      </c>
      <c r="N88" s="1" t="n">
        <f aca="false">(D88/D$92)*$K88</f>
        <v>0.11201455</v>
      </c>
      <c r="O88" s="1" t="n">
        <f aca="false">(E88/E$92)*$K88</f>
        <v>0.10492651</v>
      </c>
      <c r="P88" s="1" t="n">
        <f aca="false">(F88/F$92)*$K88</f>
        <v>0.020792433</v>
      </c>
      <c r="Q88" s="1" t="n">
        <f aca="false">(G88/G$92)*$K88</f>
        <v>0.0274288</v>
      </c>
      <c r="R88" s="1" t="n">
        <f aca="false">(H88/H$92)*$K88</f>
        <v>0.080555349</v>
      </c>
      <c r="S88" s="1" t="n">
        <f aca="false">(I88/I$92)*$K88</f>
        <v>0.00021073184</v>
      </c>
      <c r="V88" s="1" t="n">
        <v>33</v>
      </c>
      <c r="W88" s="1" t="n">
        <f aca="false">L88</f>
        <v>80</v>
      </c>
      <c r="X88" s="1" t="n">
        <f aca="false">(M88/M$92)</f>
        <v>0.0093375984</v>
      </c>
      <c r="Y88" s="1" t="n">
        <f aca="false">(N88/N$92)</f>
        <v>0.011444238</v>
      </c>
      <c r="Z88" s="1" t="n">
        <f aca="false">(O88/O$92)</f>
        <v>0.01258008</v>
      </c>
      <c r="AA88" s="1" t="n">
        <f aca="false">(P88/P$92)</f>
        <v>0.0040217235</v>
      </c>
      <c r="AB88" s="1" t="n">
        <f aca="false">(Q88/Q$92)</f>
        <v>0.0050483</v>
      </c>
      <c r="AC88" s="1" t="n">
        <f aca="false">(R88/R$92)</f>
        <v>0.011863052</v>
      </c>
      <c r="AD88" s="1" t="n">
        <f aca="false">(S88/S$92)</f>
        <v>7.1353262E-005</v>
      </c>
    </row>
    <row r="89" customFormat="false" ht="16" hidden="false" customHeight="true" outlineLevel="0" collapsed="false">
      <c r="A89" s="1" t="n">
        <v>85</v>
      </c>
      <c r="B89" s="1" t="s">
        <v>15</v>
      </c>
      <c r="C89" s="1" t="n">
        <f aca="false">EXP(C$11*$A89+C$14*SQRT($A89)+C$17*$A89*$A89+C$20)</f>
        <v>0.0017104479</v>
      </c>
      <c r="D89" s="1" t="n">
        <f aca="false">EXP(D$11*$A89+D$14*SQRT($A89)+D$17*$A89*$A89+D$20)</f>
        <v>0.0022972272</v>
      </c>
      <c r="E89" s="1" t="n">
        <f aca="false">EXP(E$11*$A89+E$14*SQRT($A89)+E$17*$A89*$A89+E$20)</f>
        <v>0.002449624</v>
      </c>
      <c r="F89" s="1" t="n">
        <f aca="false">EXP(F$11*$A89+F$14*SQRT($A89)+F$17*$A89*$A89+F$20)</f>
        <v>0.00050195504</v>
      </c>
      <c r="G89" s="1" t="n">
        <f aca="false">EXP(G$11*$A89+G$14*SQRT($A89)+G$17*$A89*$A89+G$20)</f>
        <v>0.00066216221</v>
      </c>
      <c r="H89" s="1" t="n">
        <f aca="false">EXP(H$11*$A89+H$14*SQRT($A89)+H$17*$A89*$A89+H$20)</f>
        <v>0.0019498555</v>
      </c>
      <c r="I89" s="1" t="n">
        <f aca="false">EXP(I$11*$A89+I$14*SQRT($A89)+I$17*$A89*$A89+I$20)</f>
        <v>3.4921254E-006</v>
      </c>
      <c r="K89" s="1" t="n">
        <v>35</v>
      </c>
      <c r="L89" s="1" t="n">
        <f aca="false">A89</f>
        <v>85</v>
      </c>
      <c r="M89" s="1" t="n">
        <f aca="false">(C89/C$92)*($K89)</f>
        <v>0.064791662</v>
      </c>
      <c r="N89" s="1" t="n">
        <f aca="false">(D89/D$92)*$K89</f>
        <v>0.083029359</v>
      </c>
      <c r="O89" s="1" t="n">
        <f aca="false">(E89/E$92)*$K89</f>
        <v>0.081454772</v>
      </c>
      <c r="P89" s="1" t="n">
        <f aca="false">(F89/F$92)*$K89</f>
        <v>0.014930851</v>
      </c>
      <c r="Q89" s="1" t="n">
        <f aca="false">(G89/G$92)*$K89</f>
        <v>0.020094257</v>
      </c>
      <c r="R89" s="1" t="n">
        <f aca="false">(H89/H$92)*$K89</f>
        <v>0.063929762</v>
      </c>
      <c r="S89" s="1" t="n">
        <f aca="false">(I89/I$92)*$K89</f>
        <v>0.00011043498</v>
      </c>
      <c r="V89" s="1" t="n">
        <v>35</v>
      </c>
      <c r="W89" s="1" t="n">
        <f aca="false">L89</f>
        <v>85</v>
      </c>
      <c r="X89" s="1" t="n">
        <f aca="false">(M89/M$92)</f>
        <v>0.0052903774</v>
      </c>
      <c r="Y89" s="1" t="n">
        <f aca="false">(N89/N$92)</f>
        <v>0.0084828958</v>
      </c>
      <c r="Z89" s="1" t="n">
        <f aca="false">(O89/O$92)</f>
        <v>0.0097659548</v>
      </c>
      <c r="AA89" s="1" t="n">
        <f aca="false">(P89/P$92)</f>
        <v>0.002887962</v>
      </c>
      <c r="AB89" s="1" t="n">
        <f aca="false">(Q89/Q$92)</f>
        <v>0.0036983695</v>
      </c>
      <c r="AC89" s="1" t="n">
        <f aca="false">(R89/R$92)</f>
        <v>0.0094146705</v>
      </c>
      <c r="AD89" s="1" t="n">
        <f aca="false">(S89/S$92)</f>
        <v>3.7393002E-005</v>
      </c>
    </row>
    <row r="90" customFormat="false" ht="16" hidden="false" customHeight="true" outlineLevel="0" collapsed="false">
      <c r="A90" s="1" t="n">
        <v>90</v>
      </c>
      <c r="B90" s="1" t="s">
        <v>15</v>
      </c>
      <c r="C90" s="1" t="n">
        <f aca="false">EXP(C$11*$A90+C$14*SQRT($A90)+C$17*$A90*$A90+C$20)</f>
        <v>0.00086654198</v>
      </c>
      <c r="D90" s="1" t="n">
        <f aca="false">EXP(D$11*$A90+D$14*SQRT($A90)+D$17*$A90*$A90+D$20)</f>
        <v>0.0015972798</v>
      </c>
      <c r="E90" s="1" t="n">
        <f aca="false">EXP(E$11*$A90+E$14*SQRT($A90)+E$17*$A90*$A90+E$20)</f>
        <v>0.0017891954</v>
      </c>
      <c r="F90" s="1" t="n">
        <f aca="false">EXP(F$11*$A90+F$14*SQRT($A90)+F$17*$A90*$A90+F$20)</f>
        <v>0.00033985211</v>
      </c>
      <c r="G90" s="1" t="n">
        <f aca="false">EXP(G$11*$A90+G$14*SQRT($A90)+G$17*$A90*$A90+G$20)</f>
        <v>0.00045737817</v>
      </c>
      <c r="H90" s="1" t="n">
        <f aca="false">EXP(H$11*$A90+H$14*SQRT($A90)+H$17*$A90*$A90+H$20)</f>
        <v>0.0014590058</v>
      </c>
      <c r="I90" s="1" t="n">
        <f aca="false">EXP(I$11*$A90+I$14*SQRT($A90)+I$17*$A90*$A90+I$20)</f>
        <v>1.7254891E-006</v>
      </c>
      <c r="K90" s="1" t="n">
        <v>37</v>
      </c>
      <c r="L90" s="1" t="n">
        <f aca="false">A90</f>
        <v>90</v>
      </c>
      <c r="M90" s="1" t="n">
        <f aca="false">(C90/C$92)*($K90)</f>
        <v>0.034700246</v>
      </c>
      <c r="N90" s="1" t="n">
        <f aca="false">(D90/D$92)*$K90</f>
        <v>0.061029866</v>
      </c>
      <c r="O90" s="1" t="n">
        <f aca="false">(E90/E$92)*$K90</f>
        <v>0.062893903</v>
      </c>
      <c r="P90" s="1" t="n">
        <f aca="false">(F90/F$92)*$K90</f>
        <v>0.010686695</v>
      </c>
      <c r="Q90" s="1" t="n">
        <f aca="false">(G90/G$92)*$K90</f>
        <v>0.014672924</v>
      </c>
      <c r="R90" s="1" t="n">
        <f aca="false">(H90/H$92)*$K90</f>
        <v>0.050569815</v>
      </c>
      <c r="S90" s="1" t="n">
        <f aca="false">(I90/I$92)*$K90</f>
        <v>5.7684978E-005</v>
      </c>
      <c r="V90" s="1" t="n">
        <v>37</v>
      </c>
      <c r="W90" s="1" t="n">
        <f aca="false">L90</f>
        <v>90</v>
      </c>
      <c r="X90" s="1" t="n">
        <f aca="false">(M90/M$92)</f>
        <v>0.0028333491</v>
      </c>
      <c r="Y90" s="1" t="n">
        <f aca="false">(N90/N$92)</f>
        <v>0.0062352642</v>
      </c>
      <c r="Z90" s="1" t="n">
        <f aca="false">(O90/O$92)</f>
        <v>0.0075406142</v>
      </c>
      <c r="AA90" s="1" t="n">
        <f aca="false">(P90/P$92)</f>
        <v>0.0020670467</v>
      </c>
      <c r="AB90" s="1" t="n">
        <f aca="false">(Q90/Q$92)</f>
        <v>0.0027005674</v>
      </c>
      <c r="AC90" s="1" t="n">
        <f aca="false">(R90/R$92)</f>
        <v>0.0074472066</v>
      </c>
      <c r="AD90" s="1" t="n">
        <f aca="false">(S90/S$92)</f>
        <v>1.9531986E-005</v>
      </c>
    </row>
    <row r="91" customFormat="false" ht="16" hidden="false" customHeight="true" outlineLevel="0" collapsed="false"/>
    <row r="92" customFormat="false" ht="16" hidden="false" customHeight="true" outlineLevel="0" collapsed="false">
      <c r="A92" s="1" t="s">
        <v>54</v>
      </c>
      <c r="C92" s="1" t="n">
        <f aca="false">SUM(C72:C90)</f>
        <v>0.92397193</v>
      </c>
      <c r="D92" s="1" t="n">
        <f aca="false">SUM(D72:D90)</f>
        <v>0.96836772</v>
      </c>
      <c r="E92" s="1" t="n">
        <f aca="false">SUM(E72:E90)</f>
        <v>1.0525699</v>
      </c>
      <c r="F92" s="1" t="n">
        <f aca="false">SUM(F72:F90)</f>
        <v>1.1766527</v>
      </c>
      <c r="G92" s="1" t="n">
        <f aca="false">SUM(G72:G90)</f>
        <v>1.1533483</v>
      </c>
      <c r="H92" s="1" t="n">
        <f aca="false">SUM(H72:H90)</f>
        <v>1.0674988</v>
      </c>
      <c r="I92" s="1" t="n">
        <f aca="false">SUM(I72:I90)</f>
        <v>1.1067543</v>
      </c>
      <c r="K92" s="1" t="n">
        <f aca="false">SUM(K72:K90)</f>
        <v>361</v>
      </c>
      <c r="M92" s="1" t="n">
        <f aca="false">SUM(M72:M90)</f>
        <v>12.247077</v>
      </c>
      <c r="N92" s="1" t="n">
        <f aca="false">SUM(N72:N90)</f>
        <v>9.7878556</v>
      </c>
      <c r="O92" s="1" t="n">
        <f aca="false">SUM(O72:O90)</f>
        <v>8.340687</v>
      </c>
      <c r="P92" s="1" t="n">
        <f aca="false">SUM(P72:P90)</f>
        <v>5.1700305</v>
      </c>
      <c r="Q92" s="1" t="n">
        <f aca="false">SUM(Q72:Q90)</f>
        <v>5.4332746</v>
      </c>
      <c r="R92" s="1" t="n">
        <f aca="false">SUM(R72:R90)</f>
        <v>6.7904407</v>
      </c>
      <c r="S92" s="1" t="n">
        <f aca="false">SUM(S72:S90)</f>
        <v>2.9533596</v>
      </c>
      <c r="V92" s="1" t="n">
        <f aca="false">SUM(V72:V90)</f>
        <v>361</v>
      </c>
      <c r="X92" s="1" t="n">
        <f aca="false">SUM(X72:X90)</f>
        <v>1</v>
      </c>
      <c r="Y92" s="1" t="n">
        <f aca="false">SUM(Y72:Y90)</f>
        <v>1</v>
      </c>
      <c r="Z92" s="1" t="n">
        <f aca="false">SUM(Z72:Z90)</f>
        <v>1</v>
      </c>
      <c r="AA92" s="1" t="n">
        <f aca="false">SUM(AA72:AA90)</f>
        <v>1</v>
      </c>
      <c r="AB92" s="1" t="n">
        <f aca="false">SUM(AB72:AB90)</f>
        <v>1</v>
      </c>
      <c r="AC92" s="1" t="n">
        <f aca="false">SUM(AC72:AC90)</f>
        <v>1</v>
      </c>
      <c r="AD92" s="1" t="n">
        <f aca="false">SUM(AD72:AD90)</f>
        <v>1</v>
      </c>
    </row>
    <row r="93" customFormat="false" ht="16" hidden="false" customHeight="true" outlineLevel="0" collapsed="false"/>
    <row r="94" customFormat="false" ht="16" hidden="false" customHeight="true" outlineLevel="0" collapsed="false">
      <c r="A94" s="1" t="s">
        <v>55</v>
      </c>
      <c r="L94" s="1" t="s">
        <v>55</v>
      </c>
      <c r="W94" s="1" t="s">
        <v>55</v>
      </c>
    </row>
    <row r="95" customFormat="false" ht="16" hidden="false" customHeight="true" outlineLevel="0" collapsed="false">
      <c r="A95" s="2" t="s">
        <v>6</v>
      </c>
      <c r="C95" s="1" t="s">
        <v>10</v>
      </c>
      <c r="D95" s="1" t="s">
        <v>33</v>
      </c>
      <c r="E95" s="1" t="s">
        <v>9</v>
      </c>
      <c r="F95" s="1" t="s">
        <v>13</v>
      </c>
      <c r="M95" s="1" t="s">
        <v>10</v>
      </c>
      <c r="N95" s="1" t="s">
        <v>33</v>
      </c>
      <c r="O95" s="1" t="s">
        <v>9</v>
      </c>
      <c r="P95" s="1" t="s">
        <v>13</v>
      </c>
      <c r="X95" s="1" t="s">
        <v>10</v>
      </c>
      <c r="Y95" s="1" t="s">
        <v>33</v>
      </c>
      <c r="Z95" s="1" t="s">
        <v>9</v>
      </c>
      <c r="AA95" s="1" t="s">
        <v>13</v>
      </c>
    </row>
    <row r="96" customFormat="false" ht="16" hidden="false" customHeight="true" outlineLevel="0" collapsed="false">
      <c r="A96" s="1" t="s">
        <v>17</v>
      </c>
      <c r="C96" s="3" t="s">
        <v>16</v>
      </c>
      <c r="D96" s="3" t="s">
        <v>16</v>
      </c>
      <c r="E96" s="3" t="s">
        <v>16</v>
      </c>
      <c r="F96" s="3" t="s">
        <v>16</v>
      </c>
      <c r="K96" s="1" t="s">
        <v>53</v>
      </c>
      <c r="L96" s="1" t="s">
        <v>17</v>
      </c>
      <c r="M96" s="3" t="s">
        <v>16</v>
      </c>
      <c r="N96" s="3" t="s">
        <v>16</v>
      </c>
      <c r="O96" s="3" t="s">
        <v>16</v>
      </c>
      <c r="P96" s="3" t="s">
        <v>16</v>
      </c>
      <c r="V96" s="1" t="s">
        <v>53</v>
      </c>
      <c r="W96" s="1" t="s">
        <v>17</v>
      </c>
      <c r="X96" s="3" t="s">
        <v>16</v>
      </c>
      <c r="Y96" s="3" t="s">
        <v>16</v>
      </c>
      <c r="Z96" s="3" t="s">
        <v>16</v>
      </c>
      <c r="AA96" s="3" t="s">
        <v>16</v>
      </c>
    </row>
    <row r="97" customFormat="false" ht="16" hidden="false" customHeight="true" outlineLevel="0" collapsed="false">
      <c r="A97" s="1" t="n">
        <v>0</v>
      </c>
      <c r="B97" s="1" t="s">
        <v>15</v>
      </c>
      <c r="C97" s="1" t="n">
        <f aca="false">EXP(C$33*$A97+C$36*$A97*$A97+C$39)</f>
        <v>0.67705687</v>
      </c>
      <c r="D97" s="1" t="n">
        <f aca="false">EXP(D$33*$A97+D$36*$A97*$A97+D$39)</f>
        <v>0.69767633</v>
      </c>
      <c r="E97" s="1" t="n">
        <f aca="false">EXP(E$33*$A97+E$36*$A97*$A97+E$39)</f>
        <v>0.2671353</v>
      </c>
      <c r="F97" s="1" t="n">
        <f aca="false">EXP(F$33*$A97+F$36*$A97*$A97+F$39)</f>
        <v>0.83027359</v>
      </c>
      <c r="K97" s="1" t="n">
        <v>1</v>
      </c>
      <c r="L97" s="1" t="n">
        <f aca="false">A97</f>
        <v>0</v>
      </c>
      <c r="M97" s="1" t="n">
        <f aca="false">(C97/C$117)*($K97)</f>
        <v>0.51740755</v>
      </c>
      <c r="N97" s="1" t="n">
        <f aca="false">(D97/D$117)*($K97)</f>
        <v>0.52355196</v>
      </c>
      <c r="O97" s="1" t="n">
        <f aca="false">(E97/E$117)*($K97)</f>
        <v>0.27805122</v>
      </c>
      <c r="P97" s="1" t="n">
        <f aca="false">(F97/F$117)*($K97)</f>
        <v>0.60346859</v>
      </c>
      <c r="V97" s="1" t="n">
        <v>1</v>
      </c>
      <c r="W97" s="1" t="n">
        <f aca="false">L97</f>
        <v>0</v>
      </c>
      <c r="X97" s="1" t="n">
        <f aca="false">(M97/M$117)</f>
        <v>0.17102198</v>
      </c>
      <c r="Y97" s="1" t="n">
        <f aca="false">(N97/N$117)</f>
        <v>0.17428222</v>
      </c>
      <c r="Z97" s="1" t="n">
        <f aca="false">(O97/O$117)</f>
        <v>0.045368842</v>
      </c>
      <c r="AA97" s="1" t="n">
        <f aca="false">(P97/P$117)</f>
        <v>0.2607707</v>
      </c>
    </row>
    <row r="98" customFormat="false" ht="16" hidden="false" customHeight="true" outlineLevel="0" collapsed="false">
      <c r="A98" s="1" t="n">
        <v>5</v>
      </c>
      <c r="B98" s="1" t="s">
        <v>15</v>
      </c>
      <c r="C98" s="1" t="n">
        <f aca="false">EXP(C$33*$A98+C$36*$A98*$A98+C$39)</f>
        <v>0.31555414</v>
      </c>
      <c r="D98" s="1" t="n">
        <f aca="false">EXP(D$33*$A98+D$36*$A98*$A98+D$39)</f>
        <v>0.31948339</v>
      </c>
      <c r="E98" s="1" t="n">
        <f aca="false">EXP(E$33*$A98+E$36*$A98*$A98+E$39)</f>
        <v>0.19301256</v>
      </c>
      <c r="F98" s="1" t="n">
        <f aca="false">EXP(F$33*$A98+F$36*$A98*$A98+F$39)</f>
        <v>0.32922957</v>
      </c>
      <c r="K98" s="1" t="n">
        <v>3</v>
      </c>
      <c r="L98" s="1" t="n">
        <f aca="false">A98</f>
        <v>5</v>
      </c>
      <c r="M98" s="1" t="n">
        <f aca="false">(C98/C$117)*($K98)</f>
        <v>0.7234404</v>
      </c>
      <c r="N98" s="1" t="n">
        <f aca="false">(D98/D$117)*($K98)</f>
        <v>0.71924249</v>
      </c>
      <c r="O98" s="1" t="n">
        <f aca="false">(E98/E$117)*($K98)</f>
        <v>0.60269883</v>
      </c>
      <c r="P98" s="1" t="n">
        <f aca="false">(F98/F$117)*($K98)</f>
        <v>0.71788278</v>
      </c>
      <c r="V98" s="1" t="n">
        <v>3</v>
      </c>
      <c r="W98" s="1" t="n">
        <f aca="false">L98</f>
        <v>5</v>
      </c>
      <c r="X98" s="1" t="n">
        <f aca="false">(M98/M$117)</f>
        <v>0.23912331</v>
      </c>
      <c r="Y98" s="1" t="n">
        <f aca="false">(N98/N$117)</f>
        <v>0.23942452</v>
      </c>
      <c r="Z98" s="1" t="n">
        <f aca="false">(O98/O$117)</f>
        <v>0.098340689</v>
      </c>
      <c r="AA98" s="1" t="n">
        <f aca="false">(P98/P$117)</f>
        <v>0.31021133</v>
      </c>
    </row>
    <row r="99" customFormat="false" ht="16" hidden="false" customHeight="true" outlineLevel="0" collapsed="false">
      <c r="A99" s="1" t="n">
        <v>10</v>
      </c>
      <c r="B99" s="1" t="s">
        <v>15</v>
      </c>
      <c r="C99" s="1" t="n">
        <f aca="false">EXP(C$33*$A99+C$36*$A99*$A99+C$39)</f>
        <v>0.15202657</v>
      </c>
      <c r="D99" s="1" t="n">
        <f aca="false">EXP(D$33*$A99+D$36*$A99*$A99+D$39)</f>
        <v>0.15195057</v>
      </c>
      <c r="E99" s="1" t="n">
        <f aca="false">EXP(E$33*$A99+E$36*$A99*$A99+E$39)</f>
        <v>0.13945686</v>
      </c>
      <c r="F99" s="1" t="n">
        <f aca="false">EXP(F$33*$A99+F$36*$A99*$A99+F$39)</f>
        <v>0.13054987</v>
      </c>
      <c r="K99" s="1" t="n">
        <v>5</v>
      </c>
      <c r="L99" s="1" t="n">
        <f aca="false">A99</f>
        <v>10</v>
      </c>
      <c r="M99" s="1" t="n">
        <f aca="false">(C99/C$117)*($K99)</f>
        <v>0.58089428</v>
      </c>
      <c r="N99" s="1" t="n">
        <f aca="false">(D99/D$117)*($K99)</f>
        <v>0.57013558</v>
      </c>
      <c r="O99" s="1" t="n">
        <f aca="false">(E99/E$117)*($K99)</f>
        <v>0.72577732</v>
      </c>
      <c r="P99" s="1" t="n">
        <f aca="false">(F99/F$117)*($K99)</f>
        <v>0.47443846</v>
      </c>
      <c r="V99" s="1" t="n">
        <v>5</v>
      </c>
      <c r="W99" s="1" t="n">
        <f aca="false">L99</f>
        <v>10</v>
      </c>
      <c r="X99" s="1" t="n">
        <f aca="false">(M99/M$117)</f>
        <v>0.19200665</v>
      </c>
      <c r="Y99" s="1" t="n">
        <f aca="false">(N99/N$117)</f>
        <v>0.18978917</v>
      </c>
      <c r="Z99" s="1" t="n">
        <f aca="false">(O99/O$117)</f>
        <v>0.11842306</v>
      </c>
      <c r="AA99" s="1" t="n">
        <f aca="false">(P99/P$117)</f>
        <v>0.20501423</v>
      </c>
    </row>
    <row r="100" customFormat="false" ht="16" hidden="false" customHeight="true" outlineLevel="0" collapsed="false">
      <c r="A100" s="1" t="n">
        <v>15</v>
      </c>
      <c r="B100" s="1" t="s">
        <v>15</v>
      </c>
      <c r="C100" s="1" t="n">
        <f aca="false">EXP(C$33*$A100+C$36*$A100*$A100+C$39)</f>
        <v>0.075711516</v>
      </c>
      <c r="D100" s="1" t="n">
        <f aca="false">EXP(D$33*$A100+D$36*$A100*$A100+D$39)</f>
        <v>0.075061312</v>
      </c>
      <c r="E100" s="1" t="n">
        <f aca="false">EXP(E$33*$A100+E$36*$A100*$A100+E$39)</f>
        <v>0.10076139</v>
      </c>
      <c r="F100" s="1" t="n">
        <f aca="false">EXP(F$33*$A100+F$36*$A100*$A100+F$39)</f>
        <v>0.051767124</v>
      </c>
      <c r="K100" s="1" t="n">
        <v>7</v>
      </c>
      <c r="L100" s="1" t="n">
        <f aca="false">A100</f>
        <v>15</v>
      </c>
      <c r="M100" s="1" t="n">
        <f aca="false">(C100/C$117)*($K100)</f>
        <v>0.40501173</v>
      </c>
      <c r="N100" s="1" t="n">
        <f aca="false">(D100/D$117)*($K100)</f>
        <v>0.39429384</v>
      </c>
      <c r="O100" s="1" t="n">
        <f aca="false">(E100/E$117)*($K100)</f>
        <v>0.73415155</v>
      </c>
      <c r="P100" s="1" t="n">
        <f aca="false">(F100/F$117)*($K100)</f>
        <v>0.26338166</v>
      </c>
      <c r="V100" s="1" t="n">
        <v>7</v>
      </c>
      <c r="W100" s="1" t="n">
        <f aca="false">L100</f>
        <v>15</v>
      </c>
      <c r="X100" s="1" t="n">
        <f aca="false">(M100/M$117)</f>
        <v>0.13387108</v>
      </c>
      <c r="Y100" s="1" t="n">
        <f aca="false">(N100/N$117)</f>
        <v>0.13125422</v>
      </c>
      <c r="Z100" s="1" t="n">
        <f aca="false">(O100/O$117)</f>
        <v>0.11978946</v>
      </c>
      <c r="AA100" s="1" t="n">
        <f aca="false">(P100/P$117)</f>
        <v>0.11381242</v>
      </c>
    </row>
    <row r="101" customFormat="false" ht="16" hidden="false" customHeight="true" outlineLevel="0" collapsed="false">
      <c r="A101" s="1" t="n">
        <v>20</v>
      </c>
      <c r="B101" s="1" t="s">
        <v>15</v>
      </c>
      <c r="C101" s="1" t="n">
        <f aca="false">EXP(C$33*$A101+C$36*$A101*$A101+C$39)</f>
        <v>0.038976359</v>
      </c>
      <c r="D101" s="1" t="n">
        <f aca="false">EXP(D$33*$A101+D$36*$A101*$A101+D$39)</f>
        <v>0.038511438</v>
      </c>
      <c r="E101" s="1" t="n">
        <f aca="false">EXP(E$33*$A101+E$36*$A101*$A101+E$39)</f>
        <v>0.072802863</v>
      </c>
      <c r="F101" s="1" t="n">
        <f aca="false">EXP(F$33*$A101+F$36*$A101*$A101+F$39)</f>
        <v>0.020527291</v>
      </c>
      <c r="K101" s="1" t="n">
        <v>9</v>
      </c>
      <c r="L101" s="1" t="n">
        <f aca="false">A101</f>
        <v>20</v>
      </c>
      <c r="M101" s="1" t="n">
        <f aca="false">(C101/C$117)*($K101)</f>
        <v>0.26807196</v>
      </c>
      <c r="N101" s="1" t="n">
        <f aca="false">(D101/D$117)*($K101)</f>
        <v>0.26009862</v>
      </c>
      <c r="O101" s="1" t="n">
        <f aca="false">(E101/E$117)*($K101)</f>
        <v>0.68200017</v>
      </c>
      <c r="P101" s="1" t="n">
        <f aca="false">(F101/F$117)*($K101)</f>
        <v>0.13427885</v>
      </c>
      <c r="V101" s="1" t="n">
        <v>9</v>
      </c>
      <c r="W101" s="1" t="n">
        <f aca="false">L101</f>
        <v>20</v>
      </c>
      <c r="X101" s="1" t="n">
        <f aca="false">(M101/M$117)</f>
        <v>0.088607513</v>
      </c>
      <c r="Y101" s="1" t="n">
        <f aca="false">(N101/N$117)</f>
        <v>0.086582742</v>
      </c>
      <c r="Z101" s="1" t="n">
        <f aca="false">(O101/O$117)</f>
        <v>0.11128007</v>
      </c>
      <c r="AA101" s="1" t="n">
        <f aca="false">(P101/P$117)</f>
        <v>0.058024542</v>
      </c>
    </row>
    <row r="102" customFormat="false" ht="16" hidden="false" customHeight="true" outlineLevel="0" collapsed="false">
      <c r="A102" s="1" t="n">
        <v>25</v>
      </c>
      <c r="B102" s="1" t="s">
        <v>15</v>
      </c>
      <c r="C102" s="1" t="n">
        <f aca="false">EXP(C$33*$A102+C$36*$A102*$A102+C$39)</f>
        <v>0.02074137</v>
      </c>
      <c r="D102" s="1" t="n">
        <f aca="false">EXP(D$33*$A102+D$36*$A102*$A102+D$39)</f>
        <v>0.02052216</v>
      </c>
      <c r="E102" s="1" t="n">
        <f aca="false">EXP(E$33*$A102+E$36*$A102*$A102+E$39)</f>
        <v>0.05260206</v>
      </c>
      <c r="F102" s="1" t="n">
        <f aca="false">EXP(F$33*$A102+F$36*$A102*$A102+F$39)</f>
        <v>0.0081397159</v>
      </c>
      <c r="K102" s="1" t="n">
        <v>11</v>
      </c>
      <c r="L102" s="1" t="n">
        <f aca="false">A102</f>
        <v>25</v>
      </c>
      <c r="M102" s="1" t="n">
        <f aca="false">(C102/C$117)*($K102)</f>
        <v>0.17435634</v>
      </c>
      <c r="N102" s="1" t="n">
        <f aca="false">(D102/D$117)*($K102)</f>
        <v>0.16940318</v>
      </c>
      <c r="O102" s="1" t="n">
        <f aca="false">(E102/E$117)*($K102)</f>
        <v>0.60226684</v>
      </c>
      <c r="P102" s="1" t="n">
        <f aca="false">(F102/F$117)*($K102)</f>
        <v>0.065078177</v>
      </c>
      <c r="V102" s="1" t="n">
        <v>11</v>
      </c>
      <c r="W102" s="1" t="n">
        <f aca="false">L102</f>
        <v>25</v>
      </c>
      <c r="X102" s="1" t="n">
        <f aca="false">(M102/M$117)</f>
        <v>0.0576311</v>
      </c>
      <c r="Y102" s="1" t="n">
        <f aca="false">(N102/N$117)</f>
        <v>0.056391656</v>
      </c>
      <c r="Z102" s="1" t="n">
        <f aca="false">(O102/O$117)</f>
        <v>0.098270202</v>
      </c>
      <c r="AA102" s="1" t="n">
        <f aca="false">(P102/P$117)</f>
        <v>0.028121566</v>
      </c>
    </row>
    <row r="103" customFormat="false" ht="16" hidden="false" customHeight="true" outlineLevel="0" collapsed="false">
      <c r="A103" s="1" t="n">
        <v>30</v>
      </c>
      <c r="B103" s="1" t="s">
        <v>15</v>
      </c>
      <c r="C103" s="1" t="n">
        <f aca="false">EXP(C$33*$A103+C$36*$A103*$A103+C$39)</f>
        <v>0.011409602</v>
      </c>
      <c r="D103" s="1" t="n">
        <f aca="false">EXP(D$33*$A103+D$36*$A103*$A103+D$39)</f>
        <v>0.011358374</v>
      </c>
      <c r="E103" s="1" t="n">
        <f aca="false">EXP(E$33*$A103+E$36*$A103*$A103+E$39)</f>
        <v>0.038006427</v>
      </c>
      <c r="F103" s="1" t="n">
        <f aca="false">EXP(F$33*$A103+F$36*$A103*$A103+F$39)</f>
        <v>0.0032276531</v>
      </c>
      <c r="K103" s="1" t="n">
        <v>13</v>
      </c>
      <c r="L103" s="1" t="n">
        <f aca="false">A103</f>
        <v>30</v>
      </c>
      <c r="M103" s="1" t="n">
        <f aca="false">(C103/C$117)*($K103)</f>
        <v>0.11334998</v>
      </c>
      <c r="N103" s="1" t="n">
        <f aca="false">(D103/D$117)*($K103)</f>
        <v>0.11080652</v>
      </c>
      <c r="O103" s="1" t="n">
        <f aca="false">(E103/E$117)*($K103)</f>
        <v>0.51427322</v>
      </c>
      <c r="P103" s="1" t="n">
        <f aca="false">(F103/F$117)*($K103)</f>
        <v>0.030497459</v>
      </c>
      <c r="V103" s="1" t="n">
        <v>13</v>
      </c>
      <c r="W103" s="1" t="n">
        <f aca="false">L103</f>
        <v>30</v>
      </c>
      <c r="X103" s="1" t="n">
        <f aca="false">(M103/M$117)</f>
        <v>0.037466284</v>
      </c>
      <c r="Y103" s="1" t="n">
        <f aca="false">(N103/N$117)</f>
        <v>0.03688575</v>
      </c>
      <c r="Z103" s="1" t="n">
        <f aca="false">(O103/O$117)</f>
        <v>0.083912529</v>
      </c>
      <c r="AA103" s="1" t="n">
        <f aca="false">(P103/P$117)</f>
        <v>0.013178554</v>
      </c>
    </row>
    <row r="104" customFormat="false" ht="16" hidden="false" customHeight="true" outlineLevel="0" collapsed="false">
      <c r="A104" s="1" t="n">
        <v>35</v>
      </c>
      <c r="B104" s="1" t="s">
        <v>15</v>
      </c>
      <c r="C104" s="1" t="n">
        <f aca="false">EXP(C$33*$A104+C$36*$A104*$A104+C$39)</f>
        <v>0.006487844</v>
      </c>
      <c r="D104" s="1" t="n">
        <f aca="false">EXP(D$33*$A104+D$36*$A104*$A104+D$39)</f>
        <v>0.0065293362</v>
      </c>
      <c r="E104" s="1" t="n">
        <f aca="false">EXP(E$33*$A104+E$36*$A104*$A104+E$39)</f>
        <v>0.027460683</v>
      </c>
      <c r="F104" s="1" t="n">
        <f aca="false">EXP(F$33*$A104+F$36*$A104*$A104+F$39)</f>
        <v>0.0012798659</v>
      </c>
      <c r="K104" s="1" t="n">
        <v>15</v>
      </c>
      <c r="L104" s="1" t="n">
        <f aca="false">A104</f>
        <v>35</v>
      </c>
      <c r="M104" s="1" t="n">
        <f aca="false">(C104/C$117)*($K104)</f>
        <v>0.074370256</v>
      </c>
      <c r="N104" s="1" t="n">
        <f aca="false">(D104/D$117)*($K104)</f>
        <v>0.073496404</v>
      </c>
      <c r="O104" s="1" t="n">
        <f aca="false">(E104/E$117)*($K104)</f>
        <v>0.42874208</v>
      </c>
      <c r="P104" s="1" t="n">
        <f aca="false">(F104/F$117)*($K104)</f>
        <v>0.013953693</v>
      </c>
      <c r="V104" s="1" t="n">
        <v>15</v>
      </c>
      <c r="W104" s="1" t="n">
        <f aca="false">L104</f>
        <v>35</v>
      </c>
      <c r="X104" s="1" t="n">
        <f aca="false">(M104/M$117)</f>
        <v>0.024582069</v>
      </c>
      <c r="Y104" s="1" t="n">
        <f aca="false">(N104/N$117)</f>
        <v>0.024465798</v>
      </c>
      <c r="Z104" s="1" t="n">
        <f aca="false">(O104/O$117)</f>
        <v>0.069956651</v>
      </c>
      <c r="AA104" s="1" t="n">
        <f aca="false">(P104/P$117)</f>
        <v>0.0060296664</v>
      </c>
    </row>
    <row r="105" customFormat="false" ht="16" hidden="false" customHeight="true" outlineLevel="0" collapsed="false">
      <c r="A105" s="1" t="n">
        <v>40</v>
      </c>
      <c r="B105" s="1" t="s">
        <v>15</v>
      </c>
      <c r="C105" s="1" t="n">
        <f aca="false">EXP(C$33*$A105+C$36*$A105*$A105+C$39)</f>
        <v>0.00381353</v>
      </c>
      <c r="D105" s="1" t="n">
        <f aca="false">EXP(D$33*$A105+D$36*$A105*$A105+D$39)</f>
        <v>0.0038983574</v>
      </c>
      <c r="E105" s="1" t="n">
        <f aca="false">EXP(E$33*$A105+E$36*$A105*$A105+E$39)</f>
        <v>0.019841095</v>
      </c>
      <c r="F105" s="1" t="n">
        <f aca="false">EXP(F$33*$A105+F$36*$A105*$A105+F$39)</f>
        <v>0.00050750703</v>
      </c>
      <c r="K105" s="1" t="n">
        <v>17</v>
      </c>
      <c r="L105" s="1" t="n">
        <f aca="false">A105</f>
        <v>40</v>
      </c>
      <c r="M105" s="1" t="n">
        <f aca="false">(C105/C$117)*($K105)</f>
        <v>0.04954316</v>
      </c>
      <c r="N105" s="1" t="n">
        <f aca="false">(D105/D$117)*($K105)</f>
        <v>0.049732051</v>
      </c>
      <c r="O105" s="1" t="n">
        <f aca="false">(E105/E$117)*($K105)</f>
        <v>0.3510816</v>
      </c>
      <c r="P105" s="1" t="n">
        <f aca="false">(F105/F$117)*($K105)</f>
        <v>0.0062708214</v>
      </c>
      <c r="V105" s="1" t="n">
        <v>17</v>
      </c>
      <c r="W105" s="1" t="n">
        <f aca="false">L105</f>
        <v>40</v>
      </c>
      <c r="X105" s="1" t="n">
        <f aca="false">(M105/M$117)</f>
        <v>0.016375813</v>
      </c>
      <c r="Y105" s="1" t="n">
        <f aca="false">(N105/N$117)</f>
        <v>0.016555018</v>
      </c>
      <c r="Z105" s="1" t="n">
        <f aca="false">(O105/O$117)</f>
        <v>0.057285006</v>
      </c>
      <c r="AA105" s="1" t="n">
        <f aca="false">(P105/P$117)</f>
        <v>0.0027097458</v>
      </c>
    </row>
    <row r="106" customFormat="false" ht="16" hidden="false" customHeight="true" outlineLevel="0" collapsed="false">
      <c r="A106" s="1" t="n">
        <v>45</v>
      </c>
      <c r="B106" s="1" t="s">
        <v>15</v>
      </c>
      <c r="C106" s="1" t="n">
        <f aca="false">EXP(C$33*$A106+C$36*$A106*$A106+C$39)</f>
        <v>0.0023171322</v>
      </c>
      <c r="D106" s="1" t="n">
        <f aca="false">EXP(D$33*$A106+D$36*$A106*$A106+D$39)</f>
        <v>0.0024174307</v>
      </c>
      <c r="E106" s="1" t="n">
        <f aca="false">EXP(E$33*$A106+E$36*$A106*$A106+E$39)</f>
        <v>0.014335734</v>
      </c>
      <c r="F106" s="1" t="n">
        <f aca="false">EXP(F$33*$A106+F$36*$A106*$A106+F$39)</f>
        <v>0.00020124248</v>
      </c>
      <c r="K106" s="1" t="n">
        <v>19</v>
      </c>
      <c r="L106" s="1" t="n">
        <f aca="false">A106</f>
        <v>45</v>
      </c>
      <c r="M106" s="1" t="n">
        <f aca="false">(C106/C$117)*($K106)</f>
        <v>0.03364434</v>
      </c>
      <c r="N106" s="1" t="n">
        <f aca="false">(D106/D$117)*($K106)</f>
        <v>0.03446779</v>
      </c>
      <c r="O106" s="1" t="n">
        <f aca="false">(E106/E$117)*($K106)</f>
        <v>0.28350913</v>
      </c>
      <c r="P106" s="1" t="n">
        <f aca="false">(F106/F$117)*($K106)</f>
        <v>0.0027791162</v>
      </c>
      <c r="V106" s="1" t="n">
        <v>19</v>
      </c>
      <c r="W106" s="1" t="n">
        <f aca="false">L106</f>
        <v>45</v>
      </c>
      <c r="X106" s="1" t="n">
        <f aca="false">(M106/M$117)</f>
        <v>0.011120676</v>
      </c>
      <c r="Y106" s="1" t="n">
        <f aca="false">(N106/N$117)</f>
        <v>0.011473786</v>
      </c>
      <c r="Z106" s="1" t="n">
        <f aca="false">(O106/O$117)</f>
        <v>0.046259394</v>
      </c>
      <c r="AA106" s="1" t="n">
        <f aca="false">(P106/P$117)</f>
        <v>0.001200911</v>
      </c>
    </row>
    <row r="107" customFormat="false" ht="16" hidden="false" customHeight="true" outlineLevel="0" collapsed="false">
      <c r="A107" s="1" t="n">
        <v>50</v>
      </c>
      <c r="B107" s="1" t="s">
        <v>15</v>
      </c>
      <c r="C107" s="1" t="n">
        <f aca="false">EXP(C$33*$A107+C$36*$A107*$A107+C$39)</f>
        <v>0.0014553629</v>
      </c>
      <c r="D107" s="1" t="n">
        <f aca="false">EXP(D$33*$A107+D$36*$A107*$A107+D$39)</f>
        <v>0.0015569913</v>
      </c>
      <c r="E107" s="1" t="n">
        <f aca="false">EXP(E$33*$A107+E$36*$A107*$A107+E$39)</f>
        <v>0.01035796</v>
      </c>
      <c r="F107" s="1" t="n">
        <f aca="false">EXP(F$33*$A107+F$36*$A107*$A107+F$39)</f>
        <v>7.9798967E-005</v>
      </c>
      <c r="K107" s="1" t="n">
        <v>21</v>
      </c>
      <c r="L107" s="1" t="n">
        <f aca="false">A107</f>
        <v>50</v>
      </c>
      <c r="M107" s="1" t="n">
        <f aca="false">(C107/C$117)*($K107)</f>
        <v>0.023355986</v>
      </c>
      <c r="N107" s="1" t="n">
        <f aca="false">(D107/D$117)*($K107)</f>
        <v>0.024536424</v>
      </c>
      <c r="O107" s="1" t="n">
        <f aca="false">(E107/E$117)*($K107)</f>
        <v>0.22640553</v>
      </c>
      <c r="P107" s="1" t="n">
        <f aca="false">(F107/F$117)*($K107)</f>
        <v>0.0012180076</v>
      </c>
      <c r="V107" s="1" t="n">
        <v>21</v>
      </c>
      <c r="W107" s="1" t="n">
        <f aca="false">L107</f>
        <v>50</v>
      </c>
      <c r="X107" s="1" t="n">
        <f aca="false">(M107/M$117)</f>
        <v>0.0077200012</v>
      </c>
      <c r="Y107" s="1" t="n">
        <f aca="false">(N107/N$117)</f>
        <v>0.00816779</v>
      </c>
      <c r="Z107" s="1" t="n">
        <f aca="false">(O107/O$117)</f>
        <v>0.036941959</v>
      </c>
      <c r="AA107" s="1" t="n">
        <f aca="false">(P107/P$117)</f>
        <v>0.00052632516</v>
      </c>
    </row>
    <row r="108" customFormat="false" ht="16" hidden="false" customHeight="true" outlineLevel="0" collapsed="false">
      <c r="A108" s="1" t="n">
        <v>55</v>
      </c>
      <c r="B108" s="1" t="s">
        <v>15</v>
      </c>
      <c r="C108" s="1" t="n">
        <f aca="false">EXP(C$33*$A108+C$36*$A108*$A108+C$39)</f>
        <v>0.0009449061</v>
      </c>
      <c r="D108" s="1" t="n">
        <f aca="false">EXP(D$33*$A108+D$36*$A108*$A108+D$39)</f>
        <v>0.0010415451</v>
      </c>
      <c r="E108" s="1" t="n">
        <f aca="false">EXP(E$33*$A108+E$36*$A108*$A108+E$39)</f>
        <v>0.0074839092</v>
      </c>
      <c r="F108" s="1" t="n">
        <f aca="false">EXP(F$33*$A108+F$36*$A108*$A108+F$39)</f>
        <v>3.1642798E-005</v>
      </c>
      <c r="K108" s="1" t="n">
        <v>23</v>
      </c>
      <c r="L108" s="1" t="n">
        <f aca="false">A108</f>
        <v>55</v>
      </c>
      <c r="M108" s="1" t="n">
        <f aca="false">(C108/C$117)*($K108)</f>
        <v>0.016608259</v>
      </c>
      <c r="N108" s="1" t="n">
        <f aca="false">(D108/D$117)*($K108)</f>
        <v>0.017976772</v>
      </c>
      <c r="O108" s="1" t="n">
        <f aca="false">(E108/E$117)*($K108)</f>
        <v>0.17916363</v>
      </c>
      <c r="P108" s="1" t="n">
        <f aca="false">(F108/F$117)*($K108)</f>
        <v>0.00052897623</v>
      </c>
      <c r="V108" s="1" t="n">
        <v>23</v>
      </c>
      <c r="W108" s="1" t="n">
        <f aca="false">L108</f>
        <v>55</v>
      </c>
      <c r="X108" s="1" t="n">
        <f aca="false">(M108/M$117)</f>
        <v>0.0054896324</v>
      </c>
      <c r="Y108" s="1" t="n">
        <f aca="false">(N108/N$117)</f>
        <v>0.005984185</v>
      </c>
      <c r="Z108" s="1" t="n">
        <f aca="false">(O108/O$117)</f>
        <v>0.029233631</v>
      </c>
      <c r="AA108" s="1" t="n">
        <f aca="false">(P108/P$117)</f>
        <v>0.00022858108</v>
      </c>
    </row>
    <row r="109" customFormat="false" ht="16" hidden="false" customHeight="true" outlineLevel="0" collapsed="false">
      <c r="A109" s="1" t="n">
        <v>60</v>
      </c>
      <c r="B109" s="1" t="s">
        <v>15</v>
      </c>
      <c r="C109" s="1" t="n">
        <f aca="false">EXP(C$33*$A109+C$36*$A109*$A109+C$39)</f>
        <v>0.00063416588</v>
      </c>
      <c r="D109" s="1" t="n">
        <f aca="false">EXP(D$33*$A109+D$36*$A109*$A109+D$39)</f>
        <v>0.00072365196</v>
      </c>
      <c r="E109" s="1" t="n">
        <f aca="false">EXP(E$33*$A109+E$36*$A109*$A109+E$39)</f>
        <v>0.0054073291</v>
      </c>
      <c r="F109" s="1" t="n">
        <f aca="false">EXP(F$33*$A109+F$36*$A109*$A109+F$39)</f>
        <v>1.2547363E-005</v>
      </c>
      <c r="K109" s="1" t="n">
        <v>25</v>
      </c>
      <c r="L109" s="1" t="n">
        <f aca="false">A109</f>
        <v>60</v>
      </c>
      <c r="M109" s="1" t="n">
        <f aca="false">(C109/C$117)*($K109)</f>
        <v>0.012115755</v>
      </c>
      <c r="N109" s="1" t="n">
        <f aca="false">(D109/D$117)*($K109)</f>
        <v>0.013576116</v>
      </c>
      <c r="O109" s="1" t="n">
        <f aca="false">(E109/E$117)*($K109)</f>
        <v>0.1407072</v>
      </c>
      <c r="P109" s="1" t="n">
        <f aca="false">(F109/F$117)*($K109)</f>
        <v>0.00022799532</v>
      </c>
      <c r="V109" s="1" t="n">
        <v>25</v>
      </c>
      <c r="W109" s="1" t="n">
        <f aca="false">L109</f>
        <v>60</v>
      </c>
      <c r="X109" s="1" t="n">
        <f aca="false">(M109/M$117)</f>
        <v>0.0040046969</v>
      </c>
      <c r="Y109" s="1" t="n">
        <f aca="false">(N109/N$117)</f>
        <v>0.0045192758</v>
      </c>
      <c r="Z109" s="1" t="n">
        <f aca="false">(O109/O$117)</f>
        <v>0.022958802</v>
      </c>
      <c r="AA109" s="1" t="n">
        <f aca="false">(P109/P$117)</f>
        <v>9.8521282E-005</v>
      </c>
    </row>
    <row r="110" customFormat="false" ht="16" hidden="false" customHeight="true" outlineLevel="0" collapsed="false">
      <c r="A110" s="1" t="n">
        <v>65</v>
      </c>
      <c r="B110" s="1" t="s">
        <v>15</v>
      </c>
      <c r="C110" s="1" t="n">
        <f aca="false">EXP(C$33*$A110+C$36*$A110*$A110+C$39)</f>
        <v>0.00043996077</v>
      </c>
      <c r="D110" s="1" t="n">
        <f aca="false">EXP(D$33*$A110+D$36*$A110*$A110+D$39)</f>
        <v>0.00052220517</v>
      </c>
      <c r="E110" s="1" t="n">
        <f aca="false">EXP(E$33*$A110+E$36*$A110*$A110+E$39)</f>
        <v>0.0039069432</v>
      </c>
      <c r="F110" s="1" t="n">
        <f aca="false">EXP(F$33*$A110+F$36*$A110*$A110+F$39)</f>
        <v>4.9754238E-006</v>
      </c>
      <c r="K110" s="1" t="n">
        <v>27</v>
      </c>
      <c r="L110" s="1" t="n">
        <f aca="false">A110</f>
        <v>65</v>
      </c>
      <c r="M110" s="1" t="n">
        <f aca="false">(C110/C$117)*($K110)</f>
        <v>0.0090778986</v>
      </c>
      <c r="N110" s="1" t="n">
        <f aca="false">(D110/D$117)*($K110)</f>
        <v>0.010580611</v>
      </c>
      <c r="O110" s="1" t="n">
        <f aca="false">(E110/E$117)*($K110)</f>
        <v>0.10979799</v>
      </c>
      <c r="P110" s="1" t="n">
        <f aca="false">(F110/F$117)*($K110)</f>
        <v>9.7639893E-005</v>
      </c>
      <c r="V110" s="1" t="n">
        <v>27</v>
      </c>
      <c r="W110" s="1" t="n">
        <f aca="false">L110</f>
        <v>65</v>
      </c>
      <c r="X110" s="1" t="n">
        <f aca="false">(M110/M$117)</f>
        <v>0.003000575</v>
      </c>
      <c r="Y110" s="1" t="n">
        <f aca="false">(N110/N$117)</f>
        <v>0.003522119</v>
      </c>
      <c r="Z110" s="1" t="n">
        <f aca="false">(O110/O$117)</f>
        <v>0.017915432</v>
      </c>
      <c r="AA110" s="1" t="n">
        <f aca="false">(P110/P$117)</f>
        <v>4.2192126E-005</v>
      </c>
    </row>
    <row r="111" customFormat="false" ht="16" hidden="false" customHeight="true" outlineLevel="0" collapsed="false">
      <c r="A111" s="1" t="n">
        <v>70</v>
      </c>
      <c r="B111" s="1" t="s">
        <v>15</v>
      </c>
      <c r="C111" s="1" t="n">
        <f aca="false">EXP(C$33*$A111+C$36*$A111*$A111+C$39)</f>
        <v>0.00031551637</v>
      </c>
      <c r="D111" s="1" t="n">
        <f aca="false">EXP(D$33*$A111+D$36*$A111*$A111+D$39)</f>
        <v>0.00039139237</v>
      </c>
      <c r="E111" s="1" t="n">
        <f aca="false">EXP(E$33*$A111+E$36*$A111*$A111+E$39)</f>
        <v>0.0028228733</v>
      </c>
      <c r="F111" s="1" t="n">
        <f aca="false">EXP(F$33*$A111+F$36*$A111*$A111+F$39)</f>
        <v>1.9729119E-006</v>
      </c>
      <c r="K111" s="1" t="n">
        <v>29</v>
      </c>
      <c r="L111" s="1" t="n">
        <f aca="false">A111</f>
        <v>70</v>
      </c>
      <c r="M111" s="1" t="n">
        <f aca="false">(C111/C$117)*($K111)</f>
        <v>0.00699242</v>
      </c>
      <c r="N111" s="1" t="n">
        <f aca="false">(D111/D$117)*($K111)</f>
        <v>0.0085175787</v>
      </c>
      <c r="O111" s="1" t="n">
        <f aca="false">(E111/E$117)*($K111)</f>
        <v>0.085208497</v>
      </c>
      <c r="P111" s="1" t="n">
        <f aca="false">(F111/F$117)*($K111)</f>
        <v>4.1585232E-005</v>
      </c>
      <c r="V111" s="1" t="n">
        <v>29</v>
      </c>
      <c r="W111" s="1" t="n">
        <f aca="false">L111</f>
        <v>70</v>
      </c>
      <c r="X111" s="1" t="n">
        <f aca="false">(M111/M$117)</f>
        <v>0.0023112486</v>
      </c>
      <c r="Y111" s="1" t="n">
        <f aca="false">(N111/N$117)</f>
        <v>0.0028353681</v>
      </c>
      <c r="Z111" s="1" t="n">
        <f aca="false">(O111/O$117)</f>
        <v>0.013903233</v>
      </c>
      <c r="AA111" s="1" t="n">
        <f aca="false">(P111/P$117)</f>
        <v>1.79698E-005</v>
      </c>
    </row>
    <row r="112" customFormat="false" ht="16" hidden="false" customHeight="true" outlineLevel="0" collapsed="false">
      <c r="A112" s="1" t="n">
        <v>75</v>
      </c>
      <c r="B112" s="1" t="s">
        <v>15</v>
      </c>
      <c r="C112" s="1" t="n">
        <f aca="false">EXP(C$33*$A112+C$36*$A112*$A112+C$39)</f>
        <v>0.0002338981</v>
      </c>
      <c r="D112" s="1" t="n">
        <f aca="false">EXP(D$33*$A112+D$36*$A112*$A112+D$39)</f>
        <v>0.00030467955</v>
      </c>
      <c r="E112" s="1" t="n">
        <f aca="false">EXP(E$33*$A112+E$36*$A112*$A112+E$39)</f>
        <v>0.0020396032</v>
      </c>
      <c r="F112" s="1" t="n">
        <f aca="false">EXP(F$33*$A112+F$36*$A112*$A112+F$39)</f>
        <v>7.8232154E-007</v>
      </c>
      <c r="K112" s="1" t="n">
        <v>31</v>
      </c>
      <c r="L112" s="1" t="n">
        <f aca="false">A112</f>
        <v>75</v>
      </c>
      <c r="M112" s="1" t="n">
        <f aca="false">(C112/C$117)*($K112)</f>
        <v>0.0055411002</v>
      </c>
      <c r="N112" s="1" t="n">
        <f aca="false">(D112/D$117)*($K112)</f>
        <v>0.0070877892</v>
      </c>
      <c r="O112" s="1" t="n">
        <f aca="false">(E112/E$117)*($K112)</f>
        <v>0.065811364</v>
      </c>
      <c r="P112" s="1" t="n">
        <f aca="false">(F112/F$117)*($K112)</f>
        <v>1.7627082E-005</v>
      </c>
      <c r="V112" s="1" t="n">
        <v>31</v>
      </c>
      <c r="W112" s="1" t="n">
        <f aca="false">L112</f>
        <v>75</v>
      </c>
      <c r="X112" s="1" t="n">
        <f aca="false">(M112/M$117)</f>
        <v>0.0018315348</v>
      </c>
      <c r="Y112" s="1" t="n">
        <f aca="false">(N112/N$117)</f>
        <v>0.0023594137</v>
      </c>
      <c r="Z112" s="1" t="n">
        <f aca="false">(O112/O$117)</f>
        <v>0.010738257</v>
      </c>
      <c r="AA112" s="1" t="n">
        <f aca="false">(P112/P$117)</f>
        <v>7.6170104E-006</v>
      </c>
    </row>
    <row r="113" customFormat="false" ht="16" hidden="false" customHeight="true" outlineLevel="0" collapsed="false">
      <c r="A113" s="1" t="n">
        <v>80</v>
      </c>
      <c r="B113" s="1" t="s">
        <v>15</v>
      </c>
      <c r="C113" s="1" t="n">
        <f aca="false">EXP(C$33*$A113+C$36*$A113*$A113+C$39)</f>
        <v>0.00017923729</v>
      </c>
      <c r="D113" s="1" t="n">
        <f aca="false">EXP(D$33*$A113+D$36*$A113*$A113+D$39)</f>
        <v>0.00024633947</v>
      </c>
      <c r="E113" s="1" t="n">
        <f aca="false">EXP(E$33*$A113+E$36*$A113*$A113+E$39)</f>
        <v>0.0014736691</v>
      </c>
      <c r="F113" s="1" t="n">
        <f aca="false">EXP(F$33*$A113+F$36*$A113*$A113+F$39)</f>
        <v>3.1021507E-007</v>
      </c>
      <c r="K113" s="1" t="n">
        <v>33</v>
      </c>
      <c r="L113" s="1" t="n">
        <f aca="false">A113</f>
        <v>80</v>
      </c>
      <c r="M113" s="1" t="n">
        <f aca="false">(C113/C$117)*($K113)</f>
        <v>0.0045201195</v>
      </c>
      <c r="N113" s="1" t="n">
        <f aca="false">(D113/D$117)*($K113)</f>
        <v>0.0061003359</v>
      </c>
      <c r="O113" s="1" t="n">
        <f aca="false">(E113/E$117)*($K113)</f>
        <v>0.050618286</v>
      </c>
      <c r="P113" s="1" t="n">
        <f aca="false">(F113/F$117)*($K113)</f>
        <v>7.4406398E-006</v>
      </c>
      <c r="V113" s="1" t="n">
        <v>33</v>
      </c>
      <c r="W113" s="1" t="n">
        <f aca="false">L113</f>
        <v>80</v>
      </c>
      <c r="X113" s="1" t="n">
        <f aca="false">(M113/M$117)</f>
        <v>0.0014940636</v>
      </c>
      <c r="Y113" s="1" t="n">
        <f aca="false">(N113/N$117)</f>
        <v>0.002030706</v>
      </c>
      <c r="Z113" s="1" t="n">
        <f aca="false">(O113/O$117)</f>
        <v>0.0082592447</v>
      </c>
      <c r="AA113" s="1" t="n">
        <f aca="false">(P113/P$117)</f>
        <v>3.2152474E-006</v>
      </c>
    </row>
    <row r="114" customFormat="false" ht="16" hidden="false" customHeight="true" outlineLevel="0" collapsed="false">
      <c r="A114" s="1" t="n">
        <v>85</v>
      </c>
      <c r="B114" s="1" t="s">
        <v>15</v>
      </c>
      <c r="C114" s="1" t="n">
        <f aca="false">EXP(C$33*$A114+C$36*$A114*$A114+C$39)</f>
        <v>0.00014197991</v>
      </c>
      <c r="D114" s="1" t="n">
        <f aca="false">EXP(D$33*$A114+D$36*$A114*$A114+D$39)</f>
        <v>0.00020686379</v>
      </c>
      <c r="E114" s="1" t="n">
        <f aca="false">EXP(E$33*$A114+E$36*$A114*$A114+E$39)</f>
        <v>0.0010647662</v>
      </c>
      <c r="F114" s="1" t="n">
        <f aca="false">EXP(F$33*$A114+F$36*$A114*$A114+F$39)</f>
        <v>1.2301002E-007</v>
      </c>
      <c r="K114" s="1" t="n">
        <v>35</v>
      </c>
      <c r="L114" s="1" t="n">
        <f aca="false">A114</f>
        <v>85</v>
      </c>
      <c r="M114" s="1" t="n">
        <f aca="false">(C114/C$117)*($K114)</f>
        <v>0.0037975417</v>
      </c>
      <c r="N114" s="1" t="n">
        <f aca="false">(D114/D$117)*($K114)</f>
        <v>0.0054332329</v>
      </c>
      <c r="O114" s="1" t="n">
        <f aca="false">(E114/E$117)*($K114)</f>
        <v>0.038789647</v>
      </c>
      <c r="P114" s="1" t="n">
        <f aca="false">(F114/F$117)*($K114)</f>
        <v>3.1292625E-006</v>
      </c>
      <c r="V114" s="1" t="n">
        <v>35</v>
      </c>
      <c r="W114" s="1" t="n">
        <f aca="false">L114</f>
        <v>85</v>
      </c>
      <c r="X114" s="1" t="n">
        <f aca="false">(M114/M$117)</f>
        <v>0.0012552254</v>
      </c>
      <c r="Y114" s="1" t="n">
        <f aca="false">(N114/N$117)</f>
        <v>0.0018086379</v>
      </c>
      <c r="Z114" s="1" t="n">
        <f aca="false">(O114/O$117)</f>
        <v>0.0063291987</v>
      </c>
      <c r="AA114" s="1" t="n">
        <f aca="false">(P114/P$117)</f>
        <v>1.3522161E-006</v>
      </c>
    </row>
    <row r="115" customFormat="false" ht="16" hidden="false" customHeight="true" outlineLevel="0" collapsed="false">
      <c r="A115" s="1" t="n">
        <v>90</v>
      </c>
      <c r="B115" s="1" t="s">
        <v>15</v>
      </c>
      <c r="C115" s="1" t="n">
        <f aca="false">EXP(C$33*$A115+C$36*$A115*$A115+C$39)</f>
        <v>0.00011625785</v>
      </c>
      <c r="D115" s="1" t="n">
        <f aca="false">EXP(D$33*$A115+D$36*$A115*$A115+D$39)</f>
        <v>0.00018042417</v>
      </c>
      <c r="E115" s="1" t="n">
        <f aca="false">EXP(E$33*$A115+E$36*$A115*$A115+E$39)</f>
        <v>0.00076932273</v>
      </c>
      <c r="F115" s="1" t="n">
        <f aca="false">EXP(F$33*$A115+F$36*$A115*$A115+F$39)</f>
        <v>4.8777339E-008</v>
      </c>
      <c r="K115" s="1" t="n">
        <v>37</v>
      </c>
      <c r="L115" s="1" t="n">
        <f aca="false">A115</f>
        <v>90</v>
      </c>
      <c r="M115" s="1" t="n">
        <f aca="false">(C115/C$117)*($K115)</f>
        <v>0.0032872416</v>
      </c>
      <c r="N115" s="1" t="n">
        <f aca="false">(D115/D$117)*($K115)</f>
        <v>0.0050095906</v>
      </c>
      <c r="O115" s="1" t="n">
        <f aca="false">(E115/E$117)*($K115)</f>
        <v>0.0296281</v>
      </c>
      <c r="P115" s="1" t="n">
        <f aca="false">(F115/F$117)*($K115)</f>
        <v>1.3117566E-006</v>
      </c>
      <c r="V115" s="1" t="n">
        <v>37</v>
      </c>
      <c r="W115" s="1" t="n">
        <f aca="false">L115</f>
        <v>90</v>
      </c>
      <c r="X115" s="1" t="n">
        <f aca="false">(M115/M$117)</f>
        <v>0.0010865527</v>
      </c>
      <c r="Y115" s="1" t="n">
        <f aca="false">(N115/N$117)</f>
        <v>0.001667614</v>
      </c>
      <c r="Z115" s="1" t="n">
        <f aca="false">(O115/O$117)</f>
        <v>0.0048343346</v>
      </c>
      <c r="AA115" s="1" t="n">
        <f aca="false">(P115/P$117)</f>
        <v>5.6683596E-007</v>
      </c>
    </row>
    <row r="116" customFormat="false" ht="16" hidden="false" customHeight="true" outlineLevel="0" collapsed="false"/>
    <row r="117" customFormat="false" ht="16" hidden="false" customHeight="true" outlineLevel="0" collapsed="false">
      <c r="C117" s="1" t="n">
        <f aca="false">SUM(C97:C115)</f>
        <v>1.3085562</v>
      </c>
      <c r="D117" s="1" t="n">
        <f aca="false">SUM(D97:D115)</f>
        <v>1.3325828</v>
      </c>
      <c r="E117" s="1" t="n">
        <f aca="false">SUM(E97:E115)</f>
        <v>0.96074135</v>
      </c>
      <c r="F117" s="1" t="n">
        <f aca="false">SUM(F97:F115)</f>
        <v>1.3758356</v>
      </c>
      <c r="K117" s="1" t="n">
        <f aca="false">SUM(K97:K115)</f>
        <v>361</v>
      </c>
      <c r="M117" s="1" t="n">
        <f aca="false">SUM(M97:M115)</f>
        <v>3.0253863</v>
      </c>
      <c r="N117" s="1" t="n">
        <f aca="false">SUM(N97:N115)</f>
        <v>3.0040469</v>
      </c>
      <c r="O117" s="1" t="n">
        <f aca="false">SUM(O97:O115)</f>
        <v>6.1286822</v>
      </c>
      <c r="P117" s="1" t="n">
        <f aca="false">SUM(P97:P115)</f>
        <v>2.3141733</v>
      </c>
      <c r="V117" s="1" t="n">
        <f aca="false">SUM(V97:V115)</f>
        <v>361</v>
      </c>
      <c r="X117" s="1" t="n">
        <f aca="false">SUM(X97:X115)</f>
        <v>1</v>
      </c>
      <c r="Y117" s="1" t="n">
        <f aca="false">SUM(Y97:Y115)</f>
        <v>1</v>
      </c>
      <c r="Z117" s="1" t="n">
        <f aca="false">SUM(Z97:Z115)</f>
        <v>1</v>
      </c>
      <c r="AA117" s="1" t="n">
        <f aca="false">SUM(AA97:AA115)</f>
        <v>1</v>
      </c>
    </row>
  </sheetData>
  <printOptions headings="false" gridLines="false" gridLinesSet="true" horizontalCentered="false" verticalCentered="false"/>
  <pageMargins left="1" right="1" top="1.7875" bottom="1.7875" header="1" footer="1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0" min="1" style="0" width="12.97"/>
  </cols>
  <sheetData/>
  <printOptions headings="false" gridLines="false" gridLinesSet="true" horizontalCentered="false" verticalCentered="false"/>
  <pageMargins left="1" right="1" top="1.7875" bottom="1.7875" header="1" footer="1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cp:revision>0</cp:revision>
  <dc:subject/>
  <dc:title/>
</cp:coreProperties>
</file>