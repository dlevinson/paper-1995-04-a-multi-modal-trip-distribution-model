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<sst xmlns="http://schemas.openxmlformats.org/spreadsheetml/2006/main" count="102" uniqueCount="24">
  <si>
    <t xml:space="preserve">WORKPLACE</t>
  </si>
  <si>
    <t xml:space="preserve">MONTGOMERY COUNTY RESIDENTS</t>
  </si>
  <si>
    <t xml:space="preserve">% WORK TRIPS</t>
  </si>
  <si>
    <t xml:space="preserve">TOTALS</t>
  </si>
  <si>
    <t xml:space="preserve">|</t>
  </si>
  <si>
    <t xml:space="preserve">MWCOG 87-88 HTS</t>
  </si>
  <si>
    <t xml:space="preserve">MNCPPC 87 C.U.</t>
  </si>
  <si>
    <t xml:space="preserve">TRAVEL2</t>
  </si>
  <si>
    <t xml:space="preserve">WASHINGTON</t>
  </si>
  <si>
    <t xml:space="preserve">MONTGOMERY</t>
  </si>
  <si>
    <t xml:space="preserve">PRINCE GEORGE'S</t>
  </si>
  <si>
    <t xml:space="preserve">ALEXANDRIA</t>
  </si>
  <si>
    <t xml:space="preserve">ARLINGTON</t>
  </si>
  <si>
    <t xml:space="preserve">FAIRFAX</t>
  </si>
  <si>
    <t xml:space="preserve">LOUDOUN</t>
  </si>
  <si>
    <t xml:space="preserve">PRINCE WILLIAM</t>
  </si>
  <si>
    <t xml:space="preserve">FREDERICK</t>
  </si>
  <si>
    <t xml:space="preserve">OTHER, UNK</t>
  </si>
  <si>
    <t xml:space="preserve">PM PEAK PD</t>
  </si>
  <si>
    <t xml:space="preserve">PLACE OF WORK</t>
  </si>
  <si>
    <t xml:space="preserve">work to all</t>
  </si>
  <si>
    <t xml:space="preserve">all modes</t>
  </si>
  <si>
    <t xml:space="preserve">RESIDENCE</t>
  </si>
  <si>
    <t xml:space="preserve">MONTGOMERY COUNTY WORKERS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</si>
</sst>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.52"/>
    <col collapsed="false" customWidth="true" hidden="false" outlineLevel="0" max="4" min="4" style="0" width="1.26"/>
    <col collapsed="false" customWidth="true" hidden="false" outlineLevel="0" max="6" min="6" style="0" width="1.26"/>
  </cols>
  <sheetData>
    <row r="1" customFormat="false" ht="16" hidden="false" customHeight="true" outlineLevel="0" collapsed="false"/>
    <row r="2" customFormat="false" ht="16" hidden="false" customHeight="true" outlineLevel="0" collapsed="false"/>
    <row r="3" customFormat="false" ht="16" hidden="false" customHeight="true" outlineLevel="0" collapsed="false"/>
    <row r="4" customFormat="false" ht="16" hidden="false" customHeight="true" outlineLevel="0" collapsed="false">
      <c r="A4" s="1" t="s">
        <v>0</v>
      </c>
    </row>
    <row r="5" customFormat="false" ht="16" hidden="false" customHeight="true" outlineLevel="0" collapsed="false">
      <c r="A5" s="1" t="s">
        <v>1</v>
      </c>
    </row>
    <row r="6" customFormat="false" ht="16" hidden="false" customHeight="true" outlineLevel="0" collapsed="false">
      <c r="A6" s="1" t="s">
        <v>0</v>
      </c>
      <c r="C6" s="1" t="s">
        <v>2</v>
      </c>
      <c r="I6" s="1" t="s">
        <v>3</v>
      </c>
    </row>
    <row r="7" customFormat="false" ht="16" hidden="false" customHeight="true" outlineLevel="0" collapsed="false">
      <c r="B7" s="1" t="s">
        <v>4</v>
      </c>
      <c r="C7" s="1" t="s">
        <v>5</v>
      </c>
      <c r="D7" s="1" t="s">
        <v>4</v>
      </c>
      <c r="E7" s="1" t="s">
        <v>6</v>
      </c>
      <c r="F7" s="1" t="s">
        <v>4</v>
      </c>
      <c r="G7" s="1" t="s">
        <v>7</v>
      </c>
      <c r="I7" s="1" t="s">
        <v>5</v>
      </c>
      <c r="J7" s="1" t="s">
        <v>7</v>
      </c>
    </row>
    <row r="8" customFormat="false" ht="16" hidden="false" customHeight="true" outlineLevel="0" collapsed="false">
      <c r="A8" s="1" t="s">
        <v>8</v>
      </c>
      <c r="B8" s="1" t="s">
        <v>4</v>
      </c>
      <c r="C8" s="2" t="n">
        <f aca="false">I8/($I$18)</f>
        <v>0.29263322</v>
      </c>
      <c r="D8" s="3" t="s">
        <v>4</v>
      </c>
      <c r="E8" s="3" t="n">
        <v>0.243</v>
      </c>
      <c r="F8" s="3" t="s">
        <v>4</v>
      </c>
      <c r="G8" s="3" t="n">
        <f aca="false">J8/($J$18)</f>
        <v>0.14565252</v>
      </c>
      <c r="I8" s="1" t="n">
        <v>57575</v>
      </c>
      <c r="J8" s="1" t="n">
        <v>37821</v>
      </c>
    </row>
    <row r="9" customFormat="false" ht="16" hidden="false" customHeight="true" outlineLevel="0" collapsed="false">
      <c r="A9" s="1" t="s">
        <v>9</v>
      </c>
      <c r="B9" s="1" t="s">
        <v>4</v>
      </c>
      <c r="C9" s="3" t="n">
        <f aca="false">I9/($I$18)</f>
        <v>0.54011222</v>
      </c>
      <c r="D9" s="3" t="s">
        <v>4</v>
      </c>
      <c r="E9" s="3" t="n">
        <v>0.599</v>
      </c>
      <c r="F9" s="3" t="s">
        <v>4</v>
      </c>
      <c r="G9" s="3" t="n">
        <f aca="false">J9/($J$18)</f>
        <v>0.57458438</v>
      </c>
      <c r="I9" s="1" t="n">
        <v>106266</v>
      </c>
      <c r="J9" s="1" t="n">
        <v>149200</v>
      </c>
    </row>
    <row r="10" customFormat="false" ht="16" hidden="false" customHeight="true" outlineLevel="0" collapsed="false">
      <c r="A10" s="1" t="s">
        <v>10</v>
      </c>
      <c r="B10" s="1" t="s">
        <v>4</v>
      </c>
      <c r="C10" s="3" t="n">
        <f aca="false">I10/($I$18)</f>
        <v>0.063466973</v>
      </c>
      <c r="D10" s="3" t="s">
        <v>4</v>
      </c>
      <c r="E10" s="3" t="n">
        <v>0.053</v>
      </c>
      <c r="F10" s="3" t="s">
        <v>4</v>
      </c>
      <c r="G10" s="3" t="n">
        <f aca="false">J10/($J$18)</f>
        <v>0.067298003</v>
      </c>
      <c r="I10" s="1" t="n">
        <v>12487</v>
      </c>
      <c r="J10" s="1" t="n">
        <v>17475</v>
      </c>
    </row>
    <row r="11" customFormat="false" ht="16" hidden="false" customHeight="true" outlineLevel="0" collapsed="false">
      <c r="A11" s="1" t="s">
        <v>11</v>
      </c>
      <c r="B11" s="1" t="s">
        <v>4</v>
      </c>
      <c r="C11" s="3" t="n">
        <f aca="false">I11/($I$18)</f>
        <v>0.029631813</v>
      </c>
      <c r="D11" s="3" t="s">
        <v>4</v>
      </c>
      <c r="E11" s="3"/>
      <c r="F11" s="3" t="s">
        <v>4</v>
      </c>
      <c r="G11" s="3" t="n">
        <f aca="false">J11/($J$18)</f>
        <v>0.038353123</v>
      </c>
      <c r="I11" s="1" t="n">
        <v>5830</v>
      </c>
      <c r="J11" s="1" t="n">
        <v>9959</v>
      </c>
    </row>
    <row r="12" customFormat="false" ht="16" hidden="false" customHeight="true" outlineLevel="0" collapsed="false">
      <c r="A12" s="1" t="s">
        <v>12</v>
      </c>
      <c r="B12" s="1" t="s">
        <v>4</v>
      </c>
      <c r="C12" s="3" t="n">
        <f aca="false">I12/($I$18)</f>
        <v>0.0045184703</v>
      </c>
      <c r="D12" s="3" t="s">
        <v>4</v>
      </c>
      <c r="E12" s="3" t="n">
        <v>0.067</v>
      </c>
      <c r="F12" s="3" t="s">
        <v>4</v>
      </c>
      <c r="G12" s="3" t="n">
        <f aca="false">J12/($J$18)</f>
        <v>0.0064043822</v>
      </c>
      <c r="I12" s="1" t="n">
        <v>889</v>
      </c>
      <c r="J12" s="1" t="n">
        <v>1663</v>
      </c>
    </row>
    <row r="13" customFormat="false" ht="16" hidden="false" customHeight="true" outlineLevel="0" collapsed="false">
      <c r="A13" s="1" t="s">
        <v>13</v>
      </c>
      <c r="B13" s="1" t="s">
        <v>4</v>
      </c>
      <c r="C13" s="3" t="n">
        <f aca="false">I13/($I$18)</f>
        <v>0.031669953</v>
      </c>
      <c r="D13" s="3" t="s">
        <v>4</v>
      </c>
      <c r="E13" s="3"/>
      <c r="F13" s="3" t="s">
        <v>4</v>
      </c>
      <c r="G13" s="3" t="n">
        <f aca="false">J13/($J$18)</f>
        <v>0.046740822</v>
      </c>
      <c r="I13" s="1" t="n">
        <v>6231</v>
      </c>
      <c r="J13" s="1" t="n">
        <v>12137</v>
      </c>
    </row>
    <row r="14" customFormat="false" ht="16" hidden="false" customHeight="true" outlineLevel="0" collapsed="false">
      <c r="A14" s="1" t="s">
        <v>14</v>
      </c>
      <c r="B14" s="1" t="s">
        <v>4</v>
      </c>
      <c r="C14" s="3" t="n">
        <f aca="false">I14/($I$18)</f>
        <v>0.0017077683</v>
      </c>
      <c r="D14" s="3" t="s">
        <v>4</v>
      </c>
      <c r="E14" s="3"/>
      <c r="F14" s="3" t="s">
        <v>4</v>
      </c>
      <c r="G14" s="3" t="n">
        <f aca="false">J14/($J$18)</f>
        <v>0.0026033448</v>
      </c>
      <c r="I14" s="1" t="n">
        <v>336</v>
      </c>
      <c r="J14" s="1" t="n">
        <v>676</v>
      </c>
    </row>
    <row r="15" customFormat="false" ht="16" hidden="false" customHeight="true" outlineLevel="0" collapsed="false">
      <c r="A15" s="1" t="s">
        <v>15</v>
      </c>
      <c r="B15" s="1" t="s">
        <v>4</v>
      </c>
      <c r="C15" s="3" t="n">
        <f aca="false">I15/($I$18)</f>
        <v>0.0012147519</v>
      </c>
      <c r="D15" s="3" t="s">
        <v>4</v>
      </c>
      <c r="E15" s="3"/>
      <c r="F15" s="3" t="s">
        <v>4</v>
      </c>
      <c r="G15" s="3" t="n">
        <f aca="false">J15/($J$18)</f>
        <v>0.0012285015</v>
      </c>
      <c r="I15" s="1" t="n">
        <v>239</v>
      </c>
      <c r="J15" s="1" t="n">
        <v>319</v>
      </c>
    </row>
    <row r="16" customFormat="false" ht="16" hidden="false" customHeight="true" outlineLevel="0" collapsed="false">
      <c r="A16" s="1" t="s">
        <v>16</v>
      </c>
      <c r="B16" s="1" t="s">
        <v>4</v>
      </c>
      <c r="C16" s="3" t="n">
        <f aca="false">I16/($I$18)</f>
        <v>0.0025057434</v>
      </c>
      <c r="D16" s="3" t="s">
        <v>4</v>
      </c>
      <c r="E16" s="3"/>
      <c r="F16" s="3" t="s">
        <v>4</v>
      </c>
      <c r="G16" s="3" t="n">
        <f aca="false">J16/($J$18)</f>
        <v>0.0081758891</v>
      </c>
      <c r="I16" s="1" t="n">
        <v>493</v>
      </c>
      <c r="J16" s="1" t="n">
        <v>2123</v>
      </c>
    </row>
    <row r="17" customFormat="false" ht="16" hidden="false" customHeight="true" outlineLevel="0" collapsed="false">
      <c r="A17" s="1" t="s">
        <v>17</v>
      </c>
      <c r="B17" s="1" t="s">
        <v>4</v>
      </c>
      <c r="C17" s="3" t="n">
        <f aca="false">I17/($I$18)</f>
        <v>0.032539086</v>
      </c>
      <c r="D17" s="3" t="s">
        <v>4</v>
      </c>
      <c r="E17" s="3" t="n">
        <v>0.03</v>
      </c>
      <c r="F17" s="3" t="s">
        <v>4</v>
      </c>
      <c r="G17" s="3" t="n">
        <f aca="false">J17/($J$18)</f>
        <v>0.10895903</v>
      </c>
      <c r="I17" s="1" t="n">
        <v>6402</v>
      </c>
      <c r="J17" s="1" t="n">
        <f aca="false">3568+3971+1.95+1361+10785+8606</f>
        <v>28292.95</v>
      </c>
    </row>
    <row r="18" customFormat="false" ht="16" hidden="false" customHeight="true" outlineLevel="0" collapsed="false">
      <c r="I18" s="1" t="n">
        <f aca="false">SUM(I8:I17)</f>
        <v>196748</v>
      </c>
      <c r="J18" s="1" t="n">
        <f aca="false">SUM(J8:J17)</f>
        <v>259665.95</v>
      </c>
    </row>
    <row r="19" customFormat="false" ht="16" hidden="false" customHeight="true" outlineLevel="0" collapsed="false"/>
    <row r="20" customFormat="false" ht="16" hidden="false" customHeight="true" outlineLevel="0" collapsed="false">
      <c r="C20" s="1" t="s">
        <v>18</v>
      </c>
      <c r="E20" s="1" t="s">
        <v>19</v>
      </c>
      <c r="G20" s="1" t="s">
        <v>18</v>
      </c>
    </row>
    <row r="21" customFormat="false" ht="16" hidden="false" customHeight="true" outlineLevel="0" collapsed="false">
      <c r="C21" s="1" t="s">
        <v>20</v>
      </c>
      <c r="G21" s="1" t="s">
        <v>20</v>
      </c>
    </row>
    <row r="22" customFormat="false" ht="16" hidden="false" customHeight="true" outlineLevel="0" collapsed="false">
      <c r="C22" s="1" t="s">
        <v>21</v>
      </c>
      <c r="G22" s="1" t="s">
        <v>21</v>
      </c>
    </row>
    <row r="23" customFormat="false" ht="16" hidden="false" customHeight="true" outlineLevel="0" collapsed="false"/>
    <row r="24" customFormat="false" ht="16" hidden="false" customHeight="true" outlineLevel="0" collapsed="false">
      <c r="A24" s="1" t="s">
        <v>22</v>
      </c>
    </row>
    <row r="25" customFormat="false" ht="16" hidden="false" customHeight="true" outlineLevel="0" collapsed="false">
      <c r="A25" s="1" t="s">
        <v>23</v>
      </c>
    </row>
    <row r="26" customFormat="false" ht="16" hidden="false" customHeight="true" outlineLevel="0" collapsed="false"/>
    <row r="27" customFormat="false" ht="16" hidden="false" customHeight="true" outlineLevel="0" collapsed="false">
      <c r="B27" s="1" t="s">
        <v>4</v>
      </c>
      <c r="C27" s="1" t="s">
        <v>5</v>
      </c>
      <c r="D27" s="1" t="s">
        <v>4</v>
      </c>
      <c r="E27" s="1" t="s">
        <v>7</v>
      </c>
    </row>
    <row r="28" customFormat="false" ht="16" hidden="false" customHeight="true" outlineLevel="0" collapsed="false">
      <c r="A28" s="1" t="s">
        <v>8</v>
      </c>
      <c r="B28" s="1" t="s">
        <v>4</v>
      </c>
      <c r="C28" s="3" t="n">
        <f aca="false">I28/$I$38</f>
        <v>0.065370207</v>
      </c>
      <c r="D28" s="3" t="s">
        <v>4</v>
      </c>
      <c r="E28" s="3" t="n">
        <f aca="false">J28/$J$38</f>
        <v>0.12643225</v>
      </c>
      <c r="I28" s="1" t="n">
        <v>10034</v>
      </c>
      <c r="J28" s="1" t="n">
        <v>30168</v>
      </c>
    </row>
    <row r="29" customFormat="false" ht="16" hidden="false" customHeight="true" outlineLevel="0" collapsed="false">
      <c r="A29" s="1" t="s">
        <v>9</v>
      </c>
      <c r="B29" s="1" t="s">
        <v>4</v>
      </c>
      <c r="C29" s="3" t="n">
        <f aca="false">I29/$I$38</f>
        <v>0.6923092</v>
      </c>
      <c r="D29" s="3" t="s">
        <v>4</v>
      </c>
      <c r="E29" s="3" t="n">
        <f aca="false">J29/$J$38</f>
        <v>0.62528813</v>
      </c>
      <c r="I29" s="1" t="n">
        <v>106266</v>
      </c>
      <c r="J29" s="1" t="n">
        <v>149200</v>
      </c>
    </row>
    <row r="30" customFormat="false" ht="16" hidden="false" customHeight="true" outlineLevel="0" collapsed="false">
      <c r="A30" s="1" t="s">
        <v>10</v>
      </c>
      <c r="B30" s="1" t="s">
        <v>4</v>
      </c>
      <c r="C30" s="3" t="n">
        <f aca="false">I30/$I$38</f>
        <v>0.10017916</v>
      </c>
      <c r="D30" s="3" t="s">
        <v>4</v>
      </c>
      <c r="E30" s="3" t="n">
        <f aca="false">J30/$J$38</f>
        <v>0.098026068</v>
      </c>
      <c r="I30" s="1" t="n">
        <v>15377</v>
      </c>
      <c r="J30" s="1" t="n">
        <v>23390</v>
      </c>
    </row>
    <row r="31" customFormat="false" ht="16" hidden="false" customHeight="true" outlineLevel="0" collapsed="false">
      <c r="A31" s="1" t="s">
        <v>11</v>
      </c>
      <c r="B31" s="1" t="s">
        <v>4</v>
      </c>
      <c r="C31" s="3" t="n">
        <f aca="false">I31/$I$38</f>
        <v>0.010918922</v>
      </c>
      <c r="D31" s="3" t="s">
        <v>4</v>
      </c>
      <c r="E31" s="3" t="n">
        <f aca="false">J31/$J$38</f>
        <v>0.012497381</v>
      </c>
      <c r="I31" s="1" t="n">
        <v>1676</v>
      </c>
      <c r="J31" s="1" t="n">
        <v>2982</v>
      </c>
    </row>
    <row r="32" customFormat="false" ht="16" hidden="false" customHeight="true" outlineLevel="0" collapsed="false">
      <c r="A32" s="1" t="s">
        <v>12</v>
      </c>
      <c r="B32" s="1" t="s">
        <v>4</v>
      </c>
      <c r="C32" s="3" t="n">
        <f aca="false">I32/$I$38</f>
        <v>0.0088211342</v>
      </c>
      <c r="D32" s="3" t="s">
        <v>4</v>
      </c>
      <c r="E32" s="3" t="n">
        <f aca="false">J32/$J$38</f>
        <v>0.004136457</v>
      </c>
      <c r="I32" s="1" t="n">
        <v>1354</v>
      </c>
      <c r="J32" s="1" t="n">
        <v>987</v>
      </c>
    </row>
    <row r="33" customFormat="false" ht="16" hidden="false" customHeight="true" outlineLevel="0" collapsed="false">
      <c r="A33" s="1" t="s">
        <v>13</v>
      </c>
      <c r="B33" s="1" t="s">
        <v>4</v>
      </c>
      <c r="C33" s="3" t="n">
        <f aca="false">I33/$I$38</f>
        <v>0.0579628</v>
      </c>
      <c r="D33" s="3" t="s">
        <v>4</v>
      </c>
      <c r="E33" s="3" t="n">
        <f aca="false">J33/$J$38</f>
        <v>0.063672939</v>
      </c>
      <c r="I33" s="1" t="n">
        <v>8897</v>
      </c>
      <c r="J33" s="1" t="n">
        <v>15193</v>
      </c>
    </row>
    <row r="34" customFormat="false" ht="16" hidden="false" customHeight="true" outlineLevel="0" collapsed="false">
      <c r="A34" s="1" t="s">
        <v>14</v>
      </c>
      <c r="B34" s="1" t="s">
        <v>4</v>
      </c>
      <c r="C34" s="3" t="n">
        <f aca="false">I34/$I$38</f>
        <v>0.005368253</v>
      </c>
      <c r="D34" s="3" t="s">
        <v>4</v>
      </c>
      <c r="E34" s="3" t="n">
        <f aca="false">J34/$J$38</f>
        <v>0.010292947</v>
      </c>
      <c r="I34" s="1" t="n">
        <v>824</v>
      </c>
      <c r="J34" s="1" t="n">
        <v>2456</v>
      </c>
    </row>
    <row r="35" customFormat="false" ht="16" hidden="false" customHeight="true" outlineLevel="0" collapsed="false">
      <c r="A35" s="1" t="s">
        <v>15</v>
      </c>
      <c r="B35" s="1" t="s">
        <v>4</v>
      </c>
      <c r="C35" s="3" t="n">
        <f aca="false">I35/$I$38</f>
        <v>0.0045343497</v>
      </c>
      <c r="D35" s="3" t="s">
        <v>4</v>
      </c>
      <c r="E35" s="3" t="n">
        <f aca="false">J35/$J$38</f>
        <v>0.0053141109</v>
      </c>
      <c r="I35" s="1" t="n">
        <v>696</v>
      </c>
      <c r="J35" s="1" t="n">
        <v>1268</v>
      </c>
    </row>
    <row r="36" customFormat="false" ht="16" hidden="false" customHeight="true" outlineLevel="0" collapsed="false">
      <c r="A36" s="1" t="s">
        <v>16</v>
      </c>
      <c r="B36" s="1" t="s">
        <v>4</v>
      </c>
      <c r="C36" s="3" t="n">
        <f aca="false">I36/$I$38</f>
        <v>0.054535978</v>
      </c>
      <c r="D36" s="3" t="s">
        <v>4</v>
      </c>
      <c r="E36" s="3" t="n">
        <f aca="false">J36/$J$38</f>
        <v>0.054339718</v>
      </c>
      <c r="I36" s="1" t="n">
        <v>8371</v>
      </c>
      <c r="J36" s="1" t="n">
        <v>12966</v>
      </c>
    </row>
    <row r="37" customFormat="false" ht="16" hidden="false" customHeight="true" outlineLevel="0" collapsed="false">
      <c r="A37" s="1" t="s">
        <v>17</v>
      </c>
      <c r="B37" s="1" t="s">
        <v>4</v>
      </c>
      <c r="C37" s="3" t="n">
        <f aca="false">I37/$I$38</f>
        <v>0.0028144239</v>
      </c>
      <c r="D37" s="3" t="s">
        <v>4</v>
      </c>
      <c r="E37" s="3" t="n">
        <f aca="false">J37/$J$38</f>
        <v>0.038492729</v>
      </c>
      <c r="I37" s="1" t="n">
        <v>432</v>
      </c>
      <c r="J37" s="1" t="n">
        <f aca="false">516+971+4.75+1477+4419+1797</f>
        <v>9184.75</v>
      </c>
    </row>
    <row r="38" customFormat="false" ht="16" hidden="false" customHeight="true" outlineLevel="0" collapsed="false">
      <c r="I38" s="1" t="n">
        <f aca="false">SUM(I27:I36)</f>
        <v>153495</v>
      </c>
      <c r="J38" s="1" t="n">
        <f aca="false">SUM(J27:J36)</f>
        <v>238610</v>
      </c>
    </row>
    <row r="39" customFormat="false" ht="16" hidden="false" customHeight="true" outlineLevel="0" collapsed="false">
      <c r="C39" s="1" t="s">
        <v>18</v>
      </c>
      <c r="E39" s="1" t="s">
        <v>18</v>
      </c>
    </row>
    <row r="40" customFormat="false" ht="16" hidden="false" customHeight="true" outlineLevel="0" collapsed="false">
      <c r="C40" s="1" t="s">
        <v>20</v>
      </c>
      <c r="E40" s="1" t="s">
        <v>20</v>
      </c>
    </row>
    <row r="41" customFormat="false" ht="16" hidden="false" customHeight="true" outlineLevel="0" collapsed="false">
      <c r="C41" s="1" t="s">
        <v>21</v>
      </c>
      <c r="E41" s="1" t="s">
        <v>21</v>
      </c>
    </row>
  </sheetData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