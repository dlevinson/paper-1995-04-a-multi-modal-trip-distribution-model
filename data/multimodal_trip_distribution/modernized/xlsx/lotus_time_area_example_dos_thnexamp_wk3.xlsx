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hart3.xml" ContentType="application/vnd.openxmlformats-officedocument.drawingml.chart+xml"/>
  <Override PartName="/xl/charts/colors2.xml" ContentType="application/vnd.ms-office.chartcolorstyle+xml"/>
  <Override PartName="/xl/charts/chart1.xml" ContentType="application/vnd.openxmlformats-officedocument.drawingml.chart+xml"/>
  <Override PartName="/xl/charts/style1.xml" ContentType="application/vnd.ms-office.chartstyle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  <sheet name="Charts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<sst xmlns="http://schemas.openxmlformats.org/spreadsheetml/2006/main" count="141" uniqueCount="31">
  <si>
    <t xml:space="preserve">TABLE A:</t>
  </si>
  <si>
    <t xml:space="preserve">TABLE B: EXAMPLE - COMPUTATION OF COUNTYWIDE Z-SCORE</t>
  </si>
  <si>
    <t xml:space="preserve">JOBS ACCESSIBILE FROM ZONE 1</t>
  </si>
  <si>
    <t xml:space="preserve">WEIGHT FOR SOV OPPORTUNITIES</t>
  </si>
  <si>
    <t xml:space="preserve">|</t>
  </si>
  <si>
    <t xml:space="preserve">          SOV</t>
  </si>
  <si>
    <t xml:space="preserve">     ACCESSIBILITY INDICES</t>
  </si>
  <si>
    <t xml:space="preserve">WT. ACCESSIBILITY INDICES</t>
  </si>
  <si>
    <t xml:space="preserve">TIME RANGE</t>
  </si>
  <si>
    <t xml:space="preserve">MIDPT</t>
  </si>
  <si>
    <t xml:space="preserve">WEIGHT</t>
  </si>
  <si>
    <t xml:space="preserve">JOBS</t>
  </si>
  <si>
    <t xml:space="preserve">JOBS * WT</t>
  </si>
  <si>
    <t xml:space="preserve">ZONE</t>
  </si>
  <si>
    <t xml:space="preserve">HOUSES</t>
  </si>
  <si>
    <t xml:space="preserve">FULLNET</t>
  </si>
  <si>
    <t xml:space="preserve">ALT. 1</t>
  </si>
  <si>
    <t xml:space="preserve">ALT. 2</t>
  </si>
  <si>
    <t xml:space="preserve">BASELINE</t>
  </si>
  <si>
    <t xml:space="preserve">=</t>
  </si>
  <si>
    <t xml:space="preserve">-</t>
  </si>
  <si>
    <t xml:space="preserve">...</t>
  </si>
  <si>
    <t xml:space="preserve">TOTAL:</t>
  </si>
  <si>
    <t xml:space="preserve">Z-SCORE:</t>
  </si>
  <si>
    <t xml:space="preserve">ALT 1</t>
  </si>
  <si>
    <t xml:space="preserve">ALT 2</t>
  </si>
  <si>
    <t xml:space="preserve">Z(SOV) = </t>
  </si>
  <si>
    <t xml:space="preserve">CONTRIBUTION</t>
  </si>
  <si>
    <t xml:space="preserve">MILEAGE</t>
  </si>
  <si>
    <t xml:space="preserve">BENEFIT/COST</t>
  </si>
  <si>
    <t xml:space="preserve">ACCESS. INDEX = 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</si>
</sst>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0"/>
    <numFmt numFmtId="166" formatCode="0"/>
  </numFmts>
  <fonts count="8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Times New Roman"/>
      <family val="0"/>
    </font>
    <font>
      <sz val="10"/>
      <color rgb="FF000000"/>
      <name val="Arial"/>
      <family val="2"/>
    </font>
    <font>
      <sz val="13"/>
      <color rgb="FF000000"/>
      <name val="Arial"/>
      <family val="2"/>
    </font>
    <font>
      <sz val="9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_rels/chart3.xml.rels><?xml version="1.0" encoding="UTF-8"?>
<Relationships xmlns="http://schemas.openxmlformats.org/package/2006/relationships"><Relationship Id="rId1" Type="http://schemas.microsoft.com/office/2011/relationships/chartStyle" Target="style3.xml"/><Relationship Id="rId2" Type="http://schemas.microsoft.com/office/2011/relationships/chartColorStyle" Target="colors3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lang="en-US" sz="1300" b="0" u="none" strike="noStrike">
                <a:solidFill>
                  <a:srgbClr val="000000"/>
                </a:solidFill>
                <a:uFillTx/>
                <a:latin typeface="Arial"/>
              </a:defRPr>
            </a:pPr>
            <a:r>
              <a:rPr lang="en-US" sz="1300" b="0" u="none" strike="noStrike">
                <a:solidFill>
                  <a:srgbClr val="000000"/>
                </a:solidFill>
                <a:uFillTx/>
                <a:latin typeface="Arial"/>
              </a:rPr>
              <a:t>FIGURE 1: PROPENSITY TO MAKE TRIPS</a:t>
            </a:r>
          </a:p>
          <a:p>
            <a:pPr>
              <a:defRPr lang="en-US" sz="1300" b="0" u="none" strike="noStrike">
                <a:solidFill>
                  <a:srgbClr val="000000"/>
                </a:solidFill>
                <a:uFillTx/>
                <a:latin typeface="Arial"/>
              </a:defRPr>
            </a:pPr>
            <a:r>
              <a:rPr lang="en-US" sz="1100" b="0" u="none" strike="noStrike">
                <a:solidFill>
                  <a:srgbClr val="000000"/>
                </a:solidFill>
                <a:uFillTx/>
                <a:latin typeface="Arial"/>
              </a:rPr>
              <a:t>SOV TRIPS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spPr>
            <a:solidFill>
              <a:srgbClr val="FF0000"/>
            </a:solidFill>
            <a:ln w="12600">
              <a:solidFill>
                <a:srgbClr val="FF0000"/>
              </a:solidFill>
              <a:round/>
            </a:ln>
          </c:spP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Sheet1!$C$6:$C$26</c:f>
              <c:strCache>
                <c:ptCount val="21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  <c:pt idx="10">
                  <c:v>55</c:v>
                </c:pt>
                <c:pt idx="11">
                  <c:v>60</c:v>
                </c:pt>
                <c:pt idx="12">
                  <c:v>65</c:v>
                </c:pt>
                <c:pt idx="13">
                  <c:v>70</c:v>
                </c:pt>
                <c:pt idx="14">
                  <c:v>75</c:v>
                </c:pt>
                <c:pt idx="15">
                  <c:v>80</c:v>
                </c:pt>
                <c:pt idx="16">
                  <c:v>85</c:v>
                </c:pt>
                <c:pt idx="17">
                  <c:v>90</c:v>
                </c:pt>
                <c:pt idx="18">
                  <c:v>95</c:v>
                </c:pt>
                <c:pt idx="19">
                  <c:v>100</c:v>
                </c:pt>
                <c:pt idx="20">
                  <c:v>105</c:v>
                </c:pt>
              </c:strCache>
            </c:strRef>
          </c:cat>
          <c:val>
            <c:numRef>
              <c:f>Sheet1!$E$6:$E$26</c:f>
              <c:numCache>
                <c:formatCode>0.000</c:formatCode>
                <c:ptCount val="21"/>
                <c:pt idx="0">
                  <c:v>0.31036694</c:v>
                </c:pt>
                <c:pt idx="1">
                  <c:v>0.20804518</c:v>
                </c:pt>
                <c:pt idx="2">
                  <c:v>0.13945686</c:v>
                </c:pt>
                <c:pt idx="3">
                  <c:v>0.093480726</c:v>
                </c:pt>
                <c:pt idx="4">
                  <c:v>0.062662005</c:v>
                </c:pt>
                <c:pt idx="5">
                  <c:v>0.042003598</c:v>
                </c:pt>
                <c:pt idx="6">
                  <c:v>0.028155854</c:v>
                </c:pt>
                <c:pt idx="7">
                  <c:v>0.018873433</c:v>
                </c:pt>
                <c:pt idx="8">
                  <c:v>0.012651241</c:v>
                </c:pt>
                <c:pt idx="9">
                  <c:v>0.0084803802</c:v>
                </c:pt>
                <c:pt idx="10">
                  <c:v>0.0056845688</c:v>
                </c:pt>
                <c:pt idx="11">
                  <c:v>0.0038104804</c:v>
                </c:pt>
                <c:pt idx="12">
                  <c:v>0.0025542414</c:v>
                </c:pt>
                <c:pt idx="13">
                  <c:v>0.0017121592</c:v>
                </c:pt>
                <c:pt idx="14">
                  <c:v>0.0011476947</c:v>
                </c:pt>
                <c:pt idx="15">
                  <c:v>0.00076932273</c:v>
                </c:pt>
                <c:pt idx="16">
                  <c:v>0.00051569245</c:v>
                </c:pt>
                <c:pt idx="17">
                  <c:v>0.00034567899</c:v>
                </c:pt>
                <c:pt idx="18">
                  <c:v>0.00023171555</c:v>
                </c:pt>
                <c:pt idx="19">
                  <c:v>0.00015532358</c:v>
                </c:pt>
                <c:pt idx="20">
                  <c:v>0.00010411651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51462730"/>
        <c:axId val="72168026"/>
      </c:lineChart>
      <c:catAx>
        <c:axId val="5146273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0" u="none" strike="noStrike">
                    <a:uFillTx/>
                    <a:latin typeface="Arial"/>
                  </a:rPr>
                  <a:t>TRAVEL TIME FROM JOB TO HOUSE (min.)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noFill/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72168026"/>
        <c:crossesAt val="0"/>
        <c:auto val="1"/>
        <c:lblAlgn val="ctr"/>
        <c:lblOffset val="100"/>
        <c:noMultiLvlLbl val="0"/>
      </c:catAx>
      <c:valAx>
        <c:axId val="72168026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0" u="none" strike="noStrike">
                    <a:uFillTx/>
                    <a:latin typeface="Arial"/>
                  </a:rPr>
                  <a:t>PROPENSITY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" sourceLinked="1"/>
        <c:majorTickMark val="out"/>
        <c:minorTickMark val="none"/>
        <c:tickLblPos val="nextTo"/>
        <c:spPr>
          <a:ln w="0">
            <a:noFill/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51462730"/>
        <c:crossesAt val="0"/>
        <c:crossBetween val="midCat"/>
      </c:valAx>
      <c:spPr>
        <a:noFill/>
        <a:ln w="12600">
          <a:solidFill>
            <a:srgbClr val="B3B3B3"/>
          </a:solidFill>
          <a:round/>
        </a:ln>
      </c:spPr>
    </c:plotArea>
    <c:plotVisOnly val="1"/>
    <c:dispBlanksAs val="gap"/>
  </c:chart>
  <c:spPr>
    <a:noFill/>
    <a:ln w="0">
      <a:noFill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lang="en-US" sz="1300" b="0" u="none" strike="noStrike">
                <a:solidFill>
                  <a:srgbClr val="000000"/>
                </a:solidFill>
                <a:uFillTx/>
                <a:latin typeface="Arial"/>
              </a:defRPr>
            </a:pPr>
            <a:r>
              <a:rPr lang="en-US" sz="1300" b="0" u="none" strike="noStrike">
                <a:solidFill>
                  <a:srgbClr val="000000"/>
                </a:solidFill>
                <a:uFillTx/>
                <a:latin typeface="Arial"/>
              </a:rPr>
              <a:t>FIGURE 2: DISTRIBUTION OF JOBS BY TRAVEL TIME</a:t>
            </a:r>
          </a:p>
          <a:p>
            <a:pPr>
              <a:defRPr lang="en-US" sz="1300" b="0" u="none" strike="noStrike">
                <a:solidFill>
                  <a:srgbClr val="000000"/>
                </a:solidFill>
                <a:uFillTx/>
                <a:latin typeface="Arial"/>
              </a:defRPr>
            </a:pPr>
            <a:r>
              <a:rPr lang="en-US" sz="1100" b="0" u="none" strike="noStrike">
                <a:solidFill>
                  <a:srgbClr val="000000"/>
                </a:solidFill>
                <a:uFillTx/>
                <a:latin typeface="Arial"/>
              </a:rPr>
              <a:t>SOV TRIPS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spPr>
            <a:solidFill>
              <a:srgbClr val="FF0000"/>
            </a:solidFill>
            <a:ln w="12600">
              <a:solidFill>
                <a:srgbClr val="FF0000"/>
              </a:solidFill>
              <a:round/>
            </a:ln>
          </c:spP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Sheet1!$C$6:$C$26</c:f>
              <c:strCache>
                <c:ptCount val="21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  <c:pt idx="10">
                  <c:v>55</c:v>
                </c:pt>
                <c:pt idx="11">
                  <c:v>60</c:v>
                </c:pt>
                <c:pt idx="12">
                  <c:v>65</c:v>
                </c:pt>
                <c:pt idx="13">
                  <c:v>70</c:v>
                </c:pt>
                <c:pt idx="14">
                  <c:v>75</c:v>
                </c:pt>
                <c:pt idx="15">
                  <c:v>80</c:v>
                </c:pt>
                <c:pt idx="16">
                  <c:v>85</c:v>
                </c:pt>
                <c:pt idx="17">
                  <c:v>90</c:v>
                </c:pt>
                <c:pt idx="18">
                  <c:v>95</c:v>
                </c:pt>
                <c:pt idx="19">
                  <c:v>100</c:v>
                </c:pt>
                <c:pt idx="20">
                  <c:v>105</c:v>
                </c:pt>
              </c:strCache>
            </c:strRef>
          </c:cat>
          <c:val>
            <c:numRef>
              <c:f>Sheet1!$G$6:$G$26</c:f>
              <c:numCache>
                <c:formatCode>0</c:formatCode>
                <c:ptCount val="21"/>
                <c:pt idx="0">
                  <c:v>3925</c:v>
                </c:pt>
                <c:pt idx="1">
                  <c:v>11775</c:v>
                </c:pt>
                <c:pt idx="2">
                  <c:v>23550</c:v>
                </c:pt>
                <c:pt idx="3">
                  <c:v>39250</c:v>
                </c:pt>
                <c:pt idx="4">
                  <c:v>58875</c:v>
                </c:pt>
                <c:pt idx="5">
                  <c:v>82425</c:v>
                </c:pt>
                <c:pt idx="6">
                  <c:v>109900</c:v>
                </c:pt>
                <c:pt idx="7">
                  <c:v>141300</c:v>
                </c:pt>
                <c:pt idx="8">
                  <c:v>176625</c:v>
                </c:pt>
                <c:pt idx="9">
                  <c:v>215875</c:v>
                </c:pt>
                <c:pt idx="10">
                  <c:v>259050</c:v>
                </c:pt>
                <c:pt idx="11">
                  <c:v>306150</c:v>
                </c:pt>
                <c:pt idx="12">
                  <c:v>357175</c:v>
                </c:pt>
                <c:pt idx="13">
                  <c:v>412125</c:v>
                </c:pt>
                <c:pt idx="14">
                  <c:v>471000</c:v>
                </c:pt>
                <c:pt idx="15">
                  <c:v>533800</c:v>
                </c:pt>
                <c:pt idx="16">
                  <c:v>600525</c:v>
                </c:pt>
                <c:pt idx="17">
                  <c:v>671175</c:v>
                </c:pt>
                <c:pt idx="18">
                  <c:v>745750</c:v>
                </c:pt>
                <c:pt idx="19">
                  <c:v>824250</c:v>
                </c:pt>
                <c:pt idx="20">
                  <c:v>906675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23546199"/>
        <c:axId val="82110489"/>
      </c:lineChart>
      <c:catAx>
        <c:axId val="2354619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0" u="none" strike="noStrike">
                    <a:uFillTx/>
                    <a:latin typeface="Arial"/>
                  </a:rPr>
                  <a:t>TRAVEL TIME FROM JOB TO HOUSE (min.)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noFill/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82110489"/>
        <c:crossesAt val="0"/>
        <c:auto val="1"/>
        <c:lblAlgn val="ctr"/>
        <c:lblOffset val="100"/>
        <c:noMultiLvlLbl val="0"/>
      </c:catAx>
      <c:valAx>
        <c:axId val="82110489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0" u="none" strike="noStrike">
                    <a:uFillTx/>
                    <a:latin typeface="Arial"/>
                  </a:rPr>
                  <a:t>JOBS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0">
            <a:noFill/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23546199"/>
        <c:crossesAt val="0"/>
        <c:crossBetween val="midCat"/>
      </c:valAx>
      <c:spPr>
        <a:noFill/>
        <a:ln w="12600">
          <a:solidFill>
            <a:srgbClr val="B3B3B3"/>
          </a:solidFill>
          <a:round/>
        </a:ln>
      </c:spPr>
    </c:plotArea>
    <c:plotVisOnly val="1"/>
    <c:dispBlanksAs val="gap"/>
  </c:chart>
  <c:spPr>
    <a:noFill/>
    <a:ln w="0">
      <a:noFill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lang="en-US" sz="1300" b="0" u="none" strike="noStrike">
                <a:solidFill>
                  <a:srgbClr val="000000"/>
                </a:solidFill>
                <a:uFillTx/>
                <a:latin typeface="Arial"/>
              </a:defRPr>
            </a:pPr>
            <a:r>
              <a:rPr lang="en-US" sz="1300" b="0" u="none" strike="noStrike">
                <a:solidFill>
                  <a:srgbClr val="000000"/>
                </a:solidFill>
                <a:uFillTx/>
                <a:latin typeface="Arial"/>
              </a:rPr>
              <a:t>FIGURE 3: RESULTANT TRIP DISTRIBUTION CURVE</a:t>
            </a:r>
          </a:p>
          <a:p>
            <a:pPr>
              <a:defRPr lang="en-US" sz="1300" b="0" u="none" strike="noStrike">
                <a:solidFill>
                  <a:srgbClr val="000000"/>
                </a:solidFill>
                <a:uFillTx/>
                <a:latin typeface="Arial"/>
              </a:defRPr>
            </a:pPr>
            <a:r>
              <a:rPr lang="en-US" sz="1100" b="0" u="none" strike="noStrike">
                <a:solidFill>
                  <a:srgbClr val="000000"/>
                </a:solidFill>
                <a:uFillTx/>
                <a:latin typeface="Arial"/>
              </a:rPr>
              <a:t>SOV TRIPS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areaChart>
        <c:grouping val="standard"/>
        <c:ser>
          <c:idx val="0"/>
          <c:order val="0"/>
          <c:tx>
            <c:strRef>
              <c:f>accessibility_index</c:f>
              <c:strCache>
                <c:ptCount val="1"/>
                <c:pt idx="0">
                  <c:v>accessibility_index</c:v>
                </c:pt>
              </c:strCache>
            </c:strRef>
          </c:tx>
          <c:spPr>
            <a:solidFill>
              <a:srgbClr val="00FF00"/>
            </a:solidFill>
            <a:ln w="12600">
              <a:solidFill>
                <a:srgbClr val="000000"/>
              </a:solidFill>
              <a:round/>
            </a:ln>
          </c:spP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Sheet1!$C$6:$C$26</c:f>
              <c:strCache>
                <c:ptCount val="21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  <c:pt idx="10">
                  <c:v>55</c:v>
                </c:pt>
                <c:pt idx="11">
                  <c:v>60</c:v>
                </c:pt>
                <c:pt idx="12">
                  <c:v>65</c:v>
                </c:pt>
                <c:pt idx="13">
                  <c:v>70</c:v>
                </c:pt>
                <c:pt idx="14">
                  <c:v>75</c:v>
                </c:pt>
                <c:pt idx="15">
                  <c:v>80</c:v>
                </c:pt>
                <c:pt idx="16">
                  <c:v>85</c:v>
                </c:pt>
                <c:pt idx="17">
                  <c:v>90</c:v>
                </c:pt>
                <c:pt idx="18">
                  <c:v>95</c:v>
                </c:pt>
                <c:pt idx="19">
                  <c:v>100</c:v>
                </c:pt>
                <c:pt idx="20">
                  <c:v>105</c:v>
                </c:pt>
              </c:strCache>
            </c:strRef>
          </c:cat>
          <c:val>
            <c:numRef>
              <c:f>Sheet1!$H$6:$H$26</c:f>
              <c:numCache>
                <c:formatCode>0</c:formatCode>
                <c:ptCount val="21"/>
                <c:pt idx="0">
                  <c:v>1218.1902</c:v>
                </c:pt>
                <c:pt idx="1">
                  <c:v>2449.732</c:v>
                </c:pt>
                <c:pt idx="2">
                  <c:v>3284.209</c:v>
                </c:pt>
                <c:pt idx="3">
                  <c:v>3669.1185</c:v>
                </c:pt>
                <c:pt idx="4">
                  <c:v>3689.2255</c:v>
                </c:pt>
                <c:pt idx="5">
                  <c:v>3462.1466</c:v>
                </c:pt>
                <c:pt idx="6">
                  <c:v>3094.3283</c:v>
                </c:pt>
                <c:pt idx="7">
                  <c:v>2666.8161</c:v>
                </c:pt>
                <c:pt idx="8">
                  <c:v>2234.5254</c:v>
                </c:pt>
                <c:pt idx="9">
                  <c:v>1830.7021</c:v>
                </c:pt>
                <c:pt idx="10">
                  <c:v>1472.5876</c:v>
                </c:pt>
                <c:pt idx="11">
                  <c:v>1166.5786</c:v>
                </c:pt>
                <c:pt idx="12">
                  <c:v>912.31118</c:v>
                </c:pt>
                <c:pt idx="13">
                  <c:v>705.62362</c:v>
                </c:pt>
                <c:pt idx="14">
                  <c:v>540.56418</c:v>
                </c:pt>
                <c:pt idx="15">
                  <c:v>410.66447</c:v>
                </c:pt>
                <c:pt idx="16">
                  <c:v>309.68621</c:v>
                </c:pt>
                <c:pt idx="17">
                  <c:v>232.01109</c:v>
                </c:pt>
                <c:pt idx="18">
                  <c:v>172.80187</c:v>
                </c:pt>
                <c:pt idx="19">
                  <c:v>128.02546</c:v>
                </c:pt>
                <c:pt idx="20">
                  <c:v>94.399836</c:v>
                </c:pt>
              </c:numCache>
            </c:numRef>
          </c:val>
        </c:ser>
        <c:axId val="516741"/>
        <c:axId val="82050692"/>
      </c:areaChart>
      <c:catAx>
        <c:axId val="51674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0" u="none" strike="noStrike">
                    <a:uFillTx/>
                    <a:latin typeface="Arial"/>
                  </a:rPr>
                  <a:t>TRAVEL TIME FROM JOB TO HOUSE (min.)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0">
            <a:noFill/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82050692"/>
        <c:crossesAt val="0"/>
        <c:auto val="1"/>
        <c:lblAlgn val="ctr"/>
        <c:lblOffset val="100"/>
        <c:noMultiLvlLbl val="0"/>
      </c:catAx>
      <c:valAx>
        <c:axId val="82050692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900" b="0" u="none" strike="noStrike">
                    <a:uFillTx/>
                    <a:latin typeface="Arial"/>
                  </a:rPr>
                  <a:t>PROPENSITY * # JOBS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0">
            <a:noFill/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516741"/>
        <c:crossesAt val="0"/>
        <c:crossBetween val="midCat"/>
      </c:valAx>
      <c:spPr>
        <a:noFill/>
        <a:ln w="12600">
          <a:solidFill>
            <a:srgbClr val="B3B3B3"/>
          </a:solidFill>
          <a:round/>
        </a:ln>
      </c:spPr>
    </c:plotArea>
    <c:legend>
      <c:legendPos val="r"/>
      <c:overlay val="0"/>
      <c:spPr>
        <a:noFill/>
        <a:ln w="12600">
          <a:solidFill>
            <a:srgbClr val="000000"/>
          </a:solidFill>
          <a:round/>
        </a:ln>
      </c:spPr>
      <c:txPr>
        <a:bodyPr/>
        <a:lstStyle/>
        <a:p>
          <a:pPr>
            <a:defRPr lang="en-US" sz="1000" b="0" u="none" strike="noStrike">
              <a:solidFill>
                <a:srgbClr val="000000"/>
              </a:solidFill>
              <a:uFillTx/>
              <a:latin typeface="Arial"/>
            </a:defRPr>
          </a:pPr>
        </a:p>
      </c:txPr>
    </c:legend>
    <c:plotVisOnly val="1"/>
    <c:dispBlanksAs val="gap"/>
  </c:chart>
  <c:spPr>
    <a:noFill/>
    <a:ln w="0">
      <a:noFill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3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7</xdr:col>
      <xdr:colOff>101520</xdr:colOff>
      <xdr:row>27</xdr:row>
      <xdr:rowOff>55800</xdr:rowOff>
    </xdr:to>
    <xdr:graphicFrame>
      <xdr:nvGraphicFramePr>
        <xdr:cNvPr id="1" name="Object0"/>
        <xdr:cNvGraphicFramePr/>
      </xdr:nvGraphicFramePr>
      <xdr:xfrm>
        <a:off x="0" y="0"/>
        <a:ext cx="6502320" cy="4444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101520</xdr:colOff>
      <xdr:row>0</xdr:row>
      <xdr:rowOff>0</xdr:rowOff>
    </xdr:from>
    <xdr:to>
      <xdr:col>14</xdr:col>
      <xdr:colOff>203040</xdr:colOff>
      <xdr:row>27</xdr:row>
      <xdr:rowOff>55800</xdr:rowOff>
    </xdr:to>
    <xdr:graphicFrame>
      <xdr:nvGraphicFramePr>
        <xdr:cNvPr id="2" name="Object1"/>
        <xdr:cNvGraphicFramePr/>
      </xdr:nvGraphicFramePr>
      <xdr:xfrm>
        <a:off x="6502320" y="0"/>
        <a:ext cx="6502320" cy="4444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27</xdr:row>
      <xdr:rowOff>55800</xdr:rowOff>
    </xdr:from>
    <xdr:to>
      <xdr:col>7</xdr:col>
      <xdr:colOff>101520</xdr:colOff>
      <xdr:row>54</xdr:row>
      <xdr:rowOff>111600</xdr:rowOff>
    </xdr:to>
    <xdr:graphicFrame>
      <xdr:nvGraphicFramePr>
        <xdr:cNvPr id="3" name="Object2"/>
        <xdr:cNvGraphicFramePr/>
      </xdr:nvGraphicFramePr>
      <xdr:xfrm>
        <a:off x="0" y="4444920"/>
        <a:ext cx="6502320" cy="4444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5.05"/>
    <col collapsed="false" customWidth="true" hidden="false" outlineLevel="0" max="2" min="2" style="0" width="3.78"/>
    <col collapsed="false" customWidth="true" hidden="false" outlineLevel="0" max="3" min="3" style="0" width="5.05"/>
    <col collapsed="false" customWidth="true" hidden="false" outlineLevel="0" max="11" min="11" style="0" width="6.31"/>
    <col collapsed="false" customWidth="true" hidden="false" outlineLevel="0" max="12" min="12" style="0" width="1.26"/>
    <col collapsed="false" customWidth="true" hidden="false" outlineLevel="0" max="14" min="14" style="0" width="1.26"/>
    <col collapsed="false" customWidth="true" hidden="false" outlineLevel="0" max="18" min="18" style="0" width="1.26"/>
  </cols>
  <sheetData>
    <row r="1" customFormat="false" ht="16" hidden="false" customHeight="true" outlineLevel="0" collapsed="false">
      <c r="A1" s="1" t="s">
        <v>0</v>
      </c>
      <c r="K1" s="1" t="s">
        <v>1</v>
      </c>
    </row>
    <row r="2" customFormat="false" ht="16" hidden="false" customHeight="true" outlineLevel="0" collapsed="false">
      <c r="A2" s="1" t="s">
        <v>2</v>
      </c>
      <c r="D2" s="1" t="s">
        <v>3</v>
      </c>
      <c r="L2" s="1" t="s">
        <v>4</v>
      </c>
      <c r="N2" s="1" t="s">
        <v>4</v>
      </c>
      <c r="O2" s="1" t="s">
        <v>5</v>
      </c>
      <c r="R2" s="1" t="s">
        <v>4</v>
      </c>
      <c r="S2" s="1" t="s">
        <v>5</v>
      </c>
    </row>
    <row r="3" customFormat="false" ht="16" hidden="false" customHeight="true" outlineLevel="0" collapsed="false">
      <c r="L3" s="1" t="s">
        <v>4</v>
      </c>
      <c r="N3" s="1" t="s">
        <v>4</v>
      </c>
      <c r="O3" s="1" t="s">
        <v>6</v>
      </c>
      <c r="R3" s="1" t="s">
        <v>4</v>
      </c>
      <c r="S3" s="1" t="s">
        <v>7</v>
      </c>
    </row>
    <row r="4" customFormat="false" ht="16" hidden="false" customHeight="true" outlineLevel="0" collapsed="false">
      <c r="A4" s="1" t="s">
        <v>8</v>
      </c>
      <c r="D4" s="2" t="s">
        <v>9</v>
      </c>
      <c r="E4" s="2" t="s">
        <v>10</v>
      </c>
      <c r="G4" s="2" t="s">
        <v>11</v>
      </c>
      <c r="H4" s="2" t="s">
        <v>12</v>
      </c>
      <c r="K4" s="1" t="s">
        <v>13</v>
      </c>
      <c r="L4" s="1" t="s">
        <v>4</v>
      </c>
      <c r="M4" s="1" t="s">
        <v>14</v>
      </c>
      <c r="N4" s="1" t="s">
        <v>4</v>
      </c>
      <c r="O4" s="2" t="s">
        <v>15</v>
      </c>
      <c r="P4" s="2" t="s">
        <v>16</v>
      </c>
      <c r="Q4" s="2" t="s">
        <v>17</v>
      </c>
      <c r="R4" s="1" t="s">
        <v>4</v>
      </c>
      <c r="S4" s="1" t="s">
        <v>18</v>
      </c>
      <c r="T4" s="1" t="s">
        <v>16</v>
      </c>
      <c r="U4" s="1" t="s">
        <v>17</v>
      </c>
    </row>
    <row r="5" customFormat="false" ht="16" hidden="false" customHeight="true" outlineLevel="0" collapsed="false">
      <c r="A5" s="3" t="s">
        <v>19</v>
      </c>
      <c r="B5" s="3" t="s">
        <v>19</v>
      </c>
      <c r="C5" s="3" t="s">
        <v>19</v>
      </c>
      <c r="D5" s="3" t="s">
        <v>19</v>
      </c>
      <c r="E5" s="3" t="s">
        <v>19</v>
      </c>
      <c r="G5" s="3" t="s">
        <v>19</v>
      </c>
      <c r="H5" s="3" t="s">
        <v>19</v>
      </c>
      <c r="K5" s="3" t="s">
        <v>19</v>
      </c>
      <c r="L5" s="1" t="s">
        <v>4</v>
      </c>
      <c r="M5" s="3" t="s">
        <v>19</v>
      </c>
      <c r="N5" s="1" t="s">
        <v>4</v>
      </c>
      <c r="O5" s="3" t="s">
        <v>19</v>
      </c>
      <c r="P5" s="3" t="s">
        <v>19</v>
      </c>
      <c r="Q5" s="3" t="s">
        <v>19</v>
      </c>
      <c r="R5" s="1" t="s">
        <v>4</v>
      </c>
      <c r="S5" s="3" t="s">
        <v>19</v>
      </c>
      <c r="T5" s="3" t="s">
        <v>19</v>
      </c>
      <c r="U5" s="3" t="s">
        <v>19</v>
      </c>
    </row>
    <row r="6" customFormat="false" ht="16" hidden="false" customHeight="true" outlineLevel="0" collapsed="false">
      <c r="A6" s="1" t="n">
        <v>0</v>
      </c>
      <c r="B6" s="1" t="s">
        <v>20</v>
      </c>
      <c r="C6" s="1" t="n">
        <v>5</v>
      </c>
      <c r="D6" s="1" t="n">
        <v>2.5</v>
      </c>
      <c r="E6" s="4" t="n">
        <f aca="false">EXP(-0.97-0.08*D6)</f>
        <v>0.31036694</v>
      </c>
      <c r="F6" s="1"/>
      <c r="G6" s="5" t="n">
        <f aca="false">3.14*C6*C6*50</f>
        <v>3925</v>
      </c>
      <c r="H6" s="5" t="n">
        <f aca="false">G6*E6</f>
        <v>1218.1902</v>
      </c>
      <c r="K6" s="1" t="n">
        <v>1</v>
      </c>
      <c r="L6" s="1" t="s">
        <v>4</v>
      </c>
      <c r="M6" s="1" t="n">
        <v>1</v>
      </c>
      <c r="N6" s="1" t="s">
        <v>4</v>
      </c>
      <c r="O6" s="1" t="n">
        <v>33744</v>
      </c>
      <c r="P6" s="1" t="n">
        <v>30000</v>
      </c>
      <c r="Q6" s="1" t="n">
        <v>33744</v>
      </c>
      <c r="R6" s="1" t="s">
        <v>4</v>
      </c>
      <c r="S6" s="1" t="n">
        <f aca="false">O6*$M6</f>
        <v>33744</v>
      </c>
      <c r="T6" s="1" t="n">
        <f aca="false">P6*$M6</f>
        <v>30000</v>
      </c>
      <c r="U6" s="1" t="n">
        <f aca="false">Q6*$M6</f>
        <v>33744</v>
      </c>
    </row>
    <row r="7" customFormat="false" ht="16" hidden="false" customHeight="true" outlineLevel="0" collapsed="false">
      <c r="A7" s="1" t="n">
        <v>5</v>
      </c>
      <c r="B7" s="1" t="s">
        <v>20</v>
      </c>
      <c r="C7" s="1" t="n">
        <v>10</v>
      </c>
      <c r="D7" s="1" t="n">
        <v>7.5</v>
      </c>
      <c r="E7" s="4" t="n">
        <f aca="false">EXP(-0.97-0.08*D7)</f>
        <v>0.20804518</v>
      </c>
      <c r="F7" s="1"/>
      <c r="G7" s="5" t="n">
        <f aca="false">3.14*C7*C7*50-G6</f>
        <v>11775</v>
      </c>
      <c r="H7" s="5" t="n">
        <f aca="false">G7*E7</f>
        <v>2449.732</v>
      </c>
      <c r="K7" s="1" t="n">
        <v>2</v>
      </c>
      <c r="L7" s="1" t="s">
        <v>4</v>
      </c>
      <c r="M7" s="1" t="n">
        <v>2</v>
      </c>
      <c r="N7" s="1" t="s">
        <v>4</v>
      </c>
      <c r="O7" s="1" t="n">
        <v>35000</v>
      </c>
      <c r="P7" s="1" t="n">
        <v>30000</v>
      </c>
      <c r="Q7" s="1" t="n">
        <v>35000</v>
      </c>
      <c r="R7" s="1" t="s">
        <v>4</v>
      </c>
      <c r="S7" s="1" t="n">
        <f aca="false">O7*$M7</f>
        <v>70000</v>
      </c>
      <c r="T7" s="1" t="n">
        <f aca="false">P7*$M7</f>
        <v>60000</v>
      </c>
      <c r="U7" s="1" t="n">
        <f aca="false">Q7*$M7</f>
        <v>70000</v>
      </c>
    </row>
    <row r="8" customFormat="false" ht="16" hidden="false" customHeight="true" outlineLevel="0" collapsed="false">
      <c r="A8" s="1" t="n">
        <v>10</v>
      </c>
      <c r="B8" s="1" t="s">
        <v>20</v>
      </c>
      <c r="C8" s="1" t="n">
        <v>15</v>
      </c>
      <c r="D8" s="1" t="n">
        <v>12.5</v>
      </c>
      <c r="E8" s="4" t="n">
        <f aca="false">EXP(-0.97-0.08*D8)</f>
        <v>0.13945686</v>
      </c>
      <c r="F8" s="1"/>
      <c r="G8" s="5" t="n">
        <f aca="false">3.14*C8*C8*50-G7</f>
        <v>23550</v>
      </c>
      <c r="H8" s="5" t="n">
        <f aca="false">G8*E8</f>
        <v>3284.209</v>
      </c>
      <c r="K8" s="1" t="n">
        <v>3</v>
      </c>
      <c r="L8" s="1" t="s">
        <v>4</v>
      </c>
      <c r="M8" s="1" t="n">
        <v>3</v>
      </c>
      <c r="N8" s="1" t="s">
        <v>4</v>
      </c>
      <c r="O8" s="1" t="n">
        <v>32000</v>
      </c>
      <c r="P8" s="1" t="n">
        <v>25000</v>
      </c>
      <c r="Q8" s="1" t="n">
        <v>32000</v>
      </c>
      <c r="R8" s="1" t="s">
        <v>4</v>
      </c>
      <c r="S8" s="1" t="n">
        <f aca="false">O8*$M8</f>
        <v>96000</v>
      </c>
      <c r="T8" s="1" t="n">
        <f aca="false">P8*$M8</f>
        <v>75000</v>
      </c>
      <c r="U8" s="1" t="n">
        <f aca="false">Q8*$M8</f>
        <v>96000</v>
      </c>
    </row>
    <row r="9" customFormat="false" ht="16" hidden="false" customHeight="true" outlineLevel="0" collapsed="false">
      <c r="A9" s="1" t="n">
        <v>15</v>
      </c>
      <c r="B9" s="1" t="s">
        <v>20</v>
      </c>
      <c r="C9" s="1" t="n">
        <v>20</v>
      </c>
      <c r="D9" s="1" t="n">
        <v>17.5</v>
      </c>
      <c r="E9" s="4" t="n">
        <f aca="false">EXP(-0.97-0.08*D9)</f>
        <v>0.093480726</v>
      </c>
      <c r="F9" s="1"/>
      <c r="G9" s="5" t="n">
        <f aca="false">3.14*C9*C9*50-G8</f>
        <v>39250</v>
      </c>
      <c r="H9" s="5" t="n">
        <f aca="false">G9*E9</f>
        <v>3669.1185</v>
      </c>
      <c r="K9" s="1" t="n">
        <v>4</v>
      </c>
      <c r="L9" s="1" t="s">
        <v>4</v>
      </c>
      <c r="M9" s="1" t="n">
        <v>4</v>
      </c>
      <c r="N9" s="1" t="s">
        <v>4</v>
      </c>
      <c r="O9" s="1" t="n">
        <v>25000</v>
      </c>
      <c r="P9" s="1" t="n">
        <v>25000</v>
      </c>
      <c r="Q9" s="1" t="n">
        <v>25000</v>
      </c>
      <c r="R9" s="1" t="s">
        <v>4</v>
      </c>
      <c r="S9" s="1" t="n">
        <f aca="false">O9*$M9</f>
        <v>100000</v>
      </c>
      <c r="T9" s="1" t="n">
        <f aca="false">P9*$M9</f>
        <v>100000</v>
      </c>
      <c r="U9" s="1" t="n">
        <f aca="false">Q9*$M9</f>
        <v>100000</v>
      </c>
    </row>
    <row r="10" customFormat="false" ht="16" hidden="false" customHeight="true" outlineLevel="0" collapsed="false">
      <c r="A10" s="1" t="n">
        <v>20</v>
      </c>
      <c r="B10" s="1" t="s">
        <v>20</v>
      </c>
      <c r="C10" s="1" t="n">
        <v>25</v>
      </c>
      <c r="D10" s="1" t="n">
        <v>22.5</v>
      </c>
      <c r="E10" s="4" t="n">
        <f aca="false">EXP(-0.97-0.08*D10)</f>
        <v>0.062662005</v>
      </c>
      <c r="F10" s="1"/>
      <c r="G10" s="5" t="n">
        <f aca="false">3.14*C10*C10*50-G9</f>
        <v>58875</v>
      </c>
      <c r="H10" s="5" t="n">
        <f aca="false">G10*E10</f>
        <v>3689.2255</v>
      </c>
      <c r="K10" s="1" t="n">
        <v>5</v>
      </c>
      <c r="L10" s="1" t="s">
        <v>4</v>
      </c>
      <c r="M10" s="1" t="n">
        <v>10</v>
      </c>
      <c r="N10" s="1" t="s">
        <v>4</v>
      </c>
      <c r="O10" s="1" t="n">
        <v>80000</v>
      </c>
      <c r="P10" s="1" t="n">
        <v>50000</v>
      </c>
      <c r="Q10" s="1" t="n">
        <v>80000</v>
      </c>
      <c r="R10" s="1" t="s">
        <v>4</v>
      </c>
      <c r="S10" s="1" t="n">
        <f aca="false">O10*$M10</f>
        <v>800000</v>
      </c>
      <c r="T10" s="1" t="n">
        <f aca="false">P10*$M10</f>
        <v>500000</v>
      </c>
      <c r="U10" s="1" t="n">
        <f aca="false">Q10*$M10</f>
        <v>800000</v>
      </c>
    </row>
    <row r="11" customFormat="false" ht="16" hidden="false" customHeight="true" outlineLevel="0" collapsed="false">
      <c r="A11" s="1" t="n">
        <v>25</v>
      </c>
      <c r="B11" s="1" t="s">
        <v>20</v>
      </c>
      <c r="C11" s="1" t="n">
        <v>30</v>
      </c>
      <c r="D11" s="1" t="n">
        <v>27.5</v>
      </c>
      <c r="E11" s="4" t="n">
        <f aca="false">EXP(-0.97-0.08*D11)</f>
        <v>0.042003598</v>
      </c>
      <c r="F11" s="1"/>
      <c r="G11" s="5" t="n">
        <f aca="false">3.14*C11*C11*50-G10</f>
        <v>82425</v>
      </c>
      <c r="H11" s="5" t="n">
        <f aca="false">G11*E11</f>
        <v>3462.1466</v>
      </c>
      <c r="K11" s="1" t="n">
        <v>6</v>
      </c>
      <c r="L11" s="1" t="s">
        <v>4</v>
      </c>
      <c r="M11" s="1" t="n">
        <v>12</v>
      </c>
      <c r="N11" s="1" t="s">
        <v>4</v>
      </c>
      <c r="O11" s="1" t="n">
        <v>40000</v>
      </c>
      <c r="P11" s="1" t="n">
        <v>40000</v>
      </c>
      <c r="Q11" s="1" t="n">
        <v>40000</v>
      </c>
      <c r="R11" s="1" t="s">
        <v>4</v>
      </c>
      <c r="S11" s="1" t="n">
        <f aca="false">O11*$M11</f>
        <v>480000</v>
      </c>
      <c r="T11" s="1" t="n">
        <f aca="false">P11*$M11</f>
        <v>480000</v>
      </c>
      <c r="U11" s="1" t="n">
        <f aca="false">Q11*$M11</f>
        <v>480000</v>
      </c>
    </row>
    <row r="12" customFormat="false" ht="16" hidden="false" customHeight="true" outlineLevel="0" collapsed="false">
      <c r="A12" s="1" t="n">
        <v>30</v>
      </c>
      <c r="B12" s="1" t="s">
        <v>20</v>
      </c>
      <c r="C12" s="1" t="n">
        <v>35</v>
      </c>
      <c r="D12" s="1" t="n">
        <v>32.5</v>
      </c>
      <c r="E12" s="4" t="n">
        <f aca="false">EXP(-0.97-0.08*D12)</f>
        <v>0.028155854</v>
      </c>
      <c r="F12" s="1"/>
      <c r="G12" s="5" t="n">
        <f aca="false">3.14*C12*C12*50-G11</f>
        <v>109900</v>
      </c>
      <c r="H12" s="5" t="n">
        <f aca="false">G12*E12</f>
        <v>3094.3283</v>
      </c>
      <c r="K12" s="1" t="n">
        <v>7</v>
      </c>
      <c r="L12" s="1" t="s">
        <v>4</v>
      </c>
      <c r="M12" s="1" t="n">
        <v>15</v>
      </c>
      <c r="N12" s="1" t="s">
        <v>4</v>
      </c>
      <c r="O12" s="1" t="n">
        <v>42000</v>
      </c>
      <c r="P12" s="1" t="n">
        <v>42000</v>
      </c>
      <c r="Q12" s="1" t="n">
        <v>42000</v>
      </c>
      <c r="R12" s="1" t="s">
        <v>4</v>
      </c>
      <c r="S12" s="1" t="n">
        <f aca="false">O12*$M12</f>
        <v>630000</v>
      </c>
      <c r="T12" s="1" t="n">
        <f aca="false">P12*$M12</f>
        <v>630000</v>
      </c>
      <c r="U12" s="1" t="n">
        <f aca="false">Q12*$M12</f>
        <v>630000</v>
      </c>
    </row>
    <row r="13" customFormat="false" ht="16" hidden="false" customHeight="true" outlineLevel="0" collapsed="false">
      <c r="A13" s="1" t="n">
        <v>35</v>
      </c>
      <c r="B13" s="1" t="s">
        <v>20</v>
      </c>
      <c r="C13" s="1" t="n">
        <v>40</v>
      </c>
      <c r="D13" s="1" t="n">
        <v>37.5</v>
      </c>
      <c r="E13" s="4" t="n">
        <f aca="false">EXP(-0.97-0.08*D13)</f>
        <v>0.018873433</v>
      </c>
      <c r="F13" s="1"/>
      <c r="G13" s="5" t="n">
        <f aca="false">3.14*C13*C13*50-G12</f>
        <v>141300</v>
      </c>
      <c r="H13" s="5" t="n">
        <f aca="false">G13*E13</f>
        <v>2666.8161</v>
      </c>
      <c r="K13" s="1" t="n">
        <v>8</v>
      </c>
      <c r="L13" s="1" t="s">
        <v>4</v>
      </c>
      <c r="M13" s="1" t="n">
        <v>5</v>
      </c>
      <c r="N13" s="1" t="s">
        <v>4</v>
      </c>
      <c r="O13" s="1" t="n">
        <v>35000</v>
      </c>
      <c r="P13" s="1" t="n">
        <v>35000</v>
      </c>
      <c r="Q13" s="1" t="n">
        <v>30000</v>
      </c>
      <c r="R13" s="1" t="s">
        <v>4</v>
      </c>
      <c r="S13" s="1" t="n">
        <f aca="false">O13*$M13</f>
        <v>175000</v>
      </c>
      <c r="T13" s="1" t="n">
        <f aca="false">P13*$M13</f>
        <v>175000</v>
      </c>
      <c r="U13" s="1" t="n">
        <f aca="false">Q13*$M13</f>
        <v>150000</v>
      </c>
    </row>
    <row r="14" customFormat="false" ht="16" hidden="false" customHeight="true" outlineLevel="0" collapsed="false">
      <c r="A14" s="1" t="n">
        <v>40</v>
      </c>
      <c r="B14" s="1" t="s">
        <v>20</v>
      </c>
      <c r="C14" s="1" t="n">
        <v>45</v>
      </c>
      <c r="D14" s="1" t="n">
        <v>42.5</v>
      </c>
      <c r="E14" s="4" t="n">
        <f aca="false">EXP(-0.97-0.08*D14)</f>
        <v>0.012651241</v>
      </c>
      <c r="F14" s="1"/>
      <c r="G14" s="5" t="n">
        <f aca="false">3.14*C14*C14*50-G13</f>
        <v>176625</v>
      </c>
      <c r="H14" s="5" t="n">
        <f aca="false">G14*E14</f>
        <v>2234.5254</v>
      </c>
      <c r="K14" s="1" t="s">
        <v>21</v>
      </c>
      <c r="L14" s="1" t="s">
        <v>4</v>
      </c>
      <c r="M14" s="2" t="s">
        <v>21</v>
      </c>
      <c r="N14" s="1" t="s">
        <v>4</v>
      </c>
      <c r="O14" s="2" t="s">
        <v>21</v>
      </c>
      <c r="P14" s="2" t="s">
        <v>21</v>
      </c>
      <c r="Q14" s="2" t="s">
        <v>21</v>
      </c>
      <c r="R14" s="1" t="s">
        <v>4</v>
      </c>
      <c r="S14" s="2" t="s">
        <v>21</v>
      </c>
      <c r="T14" s="2" t="s">
        <v>21</v>
      </c>
      <c r="U14" s="2" t="s">
        <v>21</v>
      </c>
    </row>
    <row r="15" customFormat="false" ht="16" hidden="false" customHeight="true" outlineLevel="0" collapsed="false">
      <c r="A15" s="1" t="n">
        <v>45</v>
      </c>
      <c r="B15" s="1" t="s">
        <v>20</v>
      </c>
      <c r="C15" s="1" t="n">
        <v>50</v>
      </c>
      <c r="D15" s="1" t="n">
        <v>47.5</v>
      </c>
      <c r="E15" s="4" t="n">
        <f aca="false">EXP(-0.97-0.08*D15)</f>
        <v>0.0084803802</v>
      </c>
      <c r="F15" s="1"/>
      <c r="G15" s="5" t="n">
        <f aca="false">3.14*C15*C15*50-G14</f>
        <v>215875</v>
      </c>
      <c r="H15" s="5" t="n">
        <f aca="false">G15*E15</f>
        <v>1830.7021</v>
      </c>
      <c r="K15" s="1" t="n">
        <v>292</v>
      </c>
      <c r="L15" s="1" t="s">
        <v>4</v>
      </c>
      <c r="M15" s="1" t="n">
        <v>10</v>
      </c>
      <c r="N15" s="1" t="s">
        <v>4</v>
      </c>
      <c r="O15" s="1" t="n">
        <v>70000</v>
      </c>
      <c r="P15" s="1" t="n">
        <v>70000</v>
      </c>
      <c r="Q15" s="1" t="n">
        <v>55000</v>
      </c>
      <c r="R15" s="1" t="s">
        <v>4</v>
      </c>
      <c r="S15" s="1" t="n">
        <f aca="false">O15*$M15</f>
        <v>700000</v>
      </c>
      <c r="T15" s="1" t="n">
        <f aca="false">P15*$M15</f>
        <v>700000</v>
      </c>
      <c r="U15" s="1" t="n">
        <f aca="false">Q15*$M15</f>
        <v>550000</v>
      </c>
    </row>
    <row r="16" customFormat="false" ht="16" hidden="false" customHeight="true" outlineLevel="0" collapsed="false">
      <c r="A16" s="1" t="n">
        <v>50</v>
      </c>
      <c r="B16" s="1" t="s">
        <v>20</v>
      </c>
      <c r="C16" s="1" t="n">
        <v>55</v>
      </c>
      <c r="D16" s="1" t="n">
        <v>52.5</v>
      </c>
      <c r="E16" s="4" t="n">
        <f aca="false">EXP(-0.97-0.08*D16)</f>
        <v>0.0056845688</v>
      </c>
      <c r="F16" s="1"/>
      <c r="G16" s="5" t="n">
        <f aca="false">3.14*C16*C16*50-G15</f>
        <v>259050</v>
      </c>
      <c r="H16" s="5" t="n">
        <f aca="false">G16*E16</f>
        <v>1472.5876</v>
      </c>
      <c r="K16" s="3" t="s">
        <v>19</v>
      </c>
      <c r="L16" s="1" t="s">
        <v>4</v>
      </c>
      <c r="M16" s="3" t="s">
        <v>19</v>
      </c>
      <c r="N16" s="1" t="s">
        <v>4</v>
      </c>
      <c r="O16" s="3" t="s">
        <v>19</v>
      </c>
      <c r="P16" s="3" t="s">
        <v>19</v>
      </c>
      <c r="Q16" s="3" t="s">
        <v>19</v>
      </c>
      <c r="R16" s="1" t="s">
        <v>4</v>
      </c>
      <c r="S16" s="3" t="s">
        <v>19</v>
      </c>
      <c r="T16" s="3" t="s">
        <v>19</v>
      </c>
      <c r="U16" s="3" t="s">
        <v>19</v>
      </c>
    </row>
    <row r="17" customFormat="false" ht="16" hidden="false" customHeight="true" outlineLevel="0" collapsed="false">
      <c r="A17" s="1" t="n">
        <v>55</v>
      </c>
      <c r="B17" s="1" t="s">
        <v>20</v>
      </c>
      <c r="C17" s="1" t="n">
        <v>60</v>
      </c>
      <c r="D17" s="1" t="n">
        <v>57.5</v>
      </c>
      <c r="E17" s="4" t="n">
        <f aca="false">EXP(-0.97-0.08*D17)</f>
        <v>0.0038104804</v>
      </c>
      <c r="F17" s="1"/>
      <c r="G17" s="5" t="n">
        <f aca="false">3.14*C17*C17*50-G16</f>
        <v>306150</v>
      </c>
      <c r="H17" s="5" t="n">
        <f aca="false">G17*E17</f>
        <v>1166.5786</v>
      </c>
      <c r="I17" s="1"/>
      <c r="J17" s="1"/>
      <c r="K17" s="1" t="s">
        <v>22</v>
      </c>
      <c r="L17" s="1"/>
      <c r="M17" s="1" t="n">
        <f aca="false">SUM(M6:M15)</f>
        <v>62</v>
      </c>
      <c r="N17" s="1" t="s">
        <v>4</v>
      </c>
      <c r="O17" s="1"/>
      <c r="P17" s="1"/>
      <c r="Q17" s="1" t="s">
        <v>23</v>
      </c>
      <c r="R17" s="1"/>
      <c r="S17" s="5" t="n">
        <f aca="false">SUM(S6:S15)/$M$17</f>
        <v>49753.935</v>
      </c>
      <c r="T17" s="5" t="n">
        <f aca="false">SUM(T6:T15)/$M$17</f>
        <v>44354.839</v>
      </c>
      <c r="U17" s="5" t="n">
        <f aca="false">SUM(U6:U15)/$M$17</f>
        <v>46931.355</v>
      </c>
    </row>
    <row r="18" customFormat="false" ht="16" hidden="false" customHeight="true" outlineLevel="0" collapsed="false">
      <c r="A18" s="1" t="n">
        <v>60</v>
      </c>
      <c r="B18" s="1" t="s">
        <v>20</v>
      </c>
      <c r="C18" s="1" t="n">
        <v>65</v>
      </c>
      <c r="D18" s="1" t="n">
        <v>62.5</v>
      </c>
      <c r="E18" s="4" t="n">
        <f aca="false">EXP(-0.97-0.08*D18)</f>
        <v>0.0025542414</v>
      </c>
      <c r="F18" s="1"/>
      <c r="G18" s="5" t="n">
        <f aca="false">3.14*C18*C18*50-G17</f>
        <v>357175</v>
      </c>
      <c r="H18" s="5" t="n">
        <f aca="false">G18*E18</f>
        <v>912.31118</v>
      </c>
    </row>
    <row r="19" customFormat="false" ht="16" hidden="false" customHeight="true" outlineLevel="0" collapsed="false">
      <c r="A19" s="1" t="n">
        <v>65</v>
      </c>
      <c r="B19" s="1" t="s">
        <v>20</v>
      </c>
      <c r="C19" s="1" t="n">
        <v>70</v>
      </c>
      <c r="D19" s="1" t="n">
        <v>67.5</v>
      </c>
      <c r="E19" s="4" t="n">
        <f aca="false">EXP(-0.97-0.08*D19)</f>
        <v>0.0017121592</v>
      </c>
      <c r="F19" s="1"/>
      <c r="G19" s="5" t="n">
        <f aca="false">3.14*C19*C19*50-G18</f>
        <v>412125</v>
      </c>
      <c r="H19" s="5" t="n">
        <f aca="false">G19*E19</f>
        <v>705.62362</v>
      </c>
      <c r="O19" s="1" t="s">
        <v>15</v>
      </c>
      <c r="P19" s="2" t="s">
        <v>24</v>
      </c>
      <c r="Q19" s="2" t="s">
        <v>25</v>
      </c>
    </row>
    <row r="20" customFormat="false" ht="16" hidden="false" customHeight="true" outlineLevel="0" collapsed="false">
      <c r="A20" s="1" t="n">
        <v>70</v>
      </c>
      <c r="B20" s="1" t="s">
        <v>20</v>
      </c>
      <c r="C20" s="1" t="n">
        <v>75</v>
      </c>
      <c r="D20" s="1" t="n">
        <v>72.5</v>
      </c>
      <c r="E20" s="4" t="n">
        <f aca="false">EXP(-0.97-0.08*D20)</f>
        <v>0.0011476947</v>
      </c>
      <c r="F20" s="1"/>
      <c r="G20" s="5" t="n">
        <f aca="false">3.14*C20*C20*50-G19</f>
        <v>471000</v>
      </c>
      <c r="H20" s="5" t="n">
        <f aca="false">G20*E20</f>
        <v>540.56418</v>
      </c>
      <c r="O20" s="3" t="s">
        <v>19</v>
      </c>
      <c r="P20" s="3" t="s">
        <v>19</v>
      </c>
      <c r="Q20" s="3" t="s">
        <v>19</v>
      </c>
    </row>
    <row r="21" customFormat="false" ht="16" hidden="false" customHeight="true" outlineLevel="0" collapsed="false">
      <c r="A21" s="1" t="n">
        <v>75</v>
      </c>
      <c r="B21" s="1" t="s">
        <v>20</v>
      </c>
      <c r="C21" s="1" t="n">
        <v>80</v>
      </c>
      <c r="D21" s="1" t="n">
        <v>77.5</v>
      </c>
      <c r="E21" s="4" t="n">
        <f aca="false">EXP(-0.97-0.08*D21)</f>
        <v>0.00076932273</v>
      </c>
      <c r="F21" s="1"/>
      <c r="G21" s="5" t="n">
        <f aca="false">3.14*C21*C21*50-G20</f>
        <v>533800</v>
      </c>
      <c r="H21" s="5" t="n">
        <f aca="false">G21*E21</f>
        <v>410.66447</v>
      </c>
      <c r="I21" s="1"/>
      <c r="J21" s="1"/>
      <c r="K21" s="1"/>
      <c r="L21" s="1"/>
      <c r="M21" s="1" t="s">
        <v>26</v>
      </c>
      <c r="N21" s="1"/>
      <c r="O21" s="5" t="n">
        <f aca="false">SUM(S6:S15)/$M$17</f>
        <v>49753.935</v>
      </c>
      <c r="P21" s="5" t="n">
        <f aca="false">T17</f>
        <v>44354.839</v>
      </c>
      <c r="Q21" s="5" t="n">
        <f aca="false">U17</f>
        <v>46931.355</v>
      </c>
    </row>
    <row r="22" customFormat="false" ht="16" hidden="false" customHeight="true" outlineLevel="0" collapsed="false">
      <c r="A22" s="1" t="n">
        <v>80</v>
      </c>
      <c r="B22" s="1" t="s">
        <v>20</v>
      </c>
      <c r="C22" s="1" t="n">
        <v>85</v>
      </c>
      <c r="D22" s="1" t="n">
        <v>82.5</v>
      </c>
      <c r="E22" s="4" t="n">
        <f aca="false">EXP(-0.97-0.08*D22)</f>
        <v>0.00051569245</v>
      </c>
      <c r="F22" s="1"/>
      <c r="G22" s="5" t="n">
        <f aca="false">3.14*C22*C22*50-G21</f>
        <v>600525</v>
      </c>
      <c r="H22" s="5" t="n">
        <f aca="false">G22*E22</f>
        <v>309.68621</v>
      </c>
      <c r="I22" s="1"/>
      <c r="J22" s="1"/>
      <c r="K22" s="1"/>
      <c r="L22" s="1"/>
      <c r="M22" s="1" t="s">
        <v>27</v>
      </c>
      <c r="N22" s="1"/>
      <c r="O22" s="1"/>
      <c r="P22" s="5" t="n">
        <f aca="false">O21-P21</f>
        <v>5399.0968</v>
      </c>
      <c r="Q22" s="5" t="n">
        <f aca="false">O21-Q21</f>
        <v>2822.5806</v>
      </c>
    </row>
    <row r="23" customFormat="false" ht="16" hidden="false" customHeight="true" outlineLevel="0" collapsed="false">
      <c r="A23" s="1" t="n">
        <v>85</v>
      </c>
      <c r="B23" s="1" t="s">
        <v>20</v>
      </c>
      <c r="C23" s="1" t="n">
        <v>90</v>
      </c>
      <c r="D23" s="1" t="n">
        <v>87.5</v>
      </c>
      <c r="E23" s="4" t="n">
        <f aca="false">EXP(-0.97-0.08*D23)</f>
        <v>0.00034567899</v>
      </c>
      <c r="F23" s="1"/>
      <c r="G23" s="5" t="n">
        <f aca="false">3.14*C23*C23*50-G22</f>
        <v>671175</v>
      </c>
      <c r="H23" s="5" t="n">
        <f aca="false">G23*E23</f>
        <v>232.01109</v>
      </c>
      <c r="M23" s="1" t="s">
        <v>28</v>
      </c>
      <c r="P23" s="1" t="n">
        <v>1</v>
      </c>
      <c r="Q23" s="1" t="n">
        <v>2</v>
      </c>
    </row>
    <row r="24" customFormat="false" ht="16" hidden="false" customHeight="true" outlineLevel="0" collapsed="false">
      <c r="A24" s="1" t="n">
        <v>90</v>
      </c>
      <c r="B24" s="1" t="s">
        <v>20</v>
      </c>
      <c r="C24" s="1" t="n">
        <v>95</v>
      </c>
      <c r="D24" s="1" t="n">
        <v>92.5</v>
      </c>
      <c r="E24" s="4" t="n">
        <f aca="false">EXP(-0.97-0.08*D24)</f>
        <v>0.00023171555</v>
      </c>
      <c r="F24" s="1"/>
      <c r="G24" s="5" t="n">
        <f aca="false">3.14*C24*C24*50-G23</f>
        <v>745750</v>
      </c>
      <c r="H24" s="5" t="n">
        <f aca="false">G24*E24</f>
        <v>172.80187</v>
      </c>
      <c r="I24" s="1"/>
      <c r="J24" s="1"/>
      <c r="K24" s="1"/>
      <c r="L24" s="1"/>
      <c r="M24" s="1" t="s">
        <v>29</v>
      </c>
      <c r="N24" s="1"/>
      <c r="O24" s="1"/>
      <c r="P24" s="5" t="n">
        <f aca="false">P22/P23</f>
        <v>5399.0968</v>
      </c>
      <c r="Q24" s="5" t="n">
        <f aca="false">Q22/Q23</f>
        <v>1411.2903</v>
      </c>
    </row>
    <row r="25" customFormat="false" ht="16" hidden="false" customHeight="true" outlineLevel="0" collapsed="false">
      <c r="A25" s="1" t="n">
        <v>95</v>
      </c>
      <c r="B25" s="1" t="s">
        <v>20</v>
      </c>
      <c r="C25" s="1" t="n">
        <v>100</v>
      </c>
      <c r="D25" s="1" t="n">
        <v>97.5</v>
      </c>
      <c r="E25" s="4" t="n">
        <f aca="false">EXP(-0.97-0.08*D25)</f>
        <v>0.00015532358</v>
      </c>
      <c r="F25" s="1"/>
      <c r="G25" s="5" t="n">
        <f aca="false">3.14*C25*C25*50-G24</f>
        <v>824250</v>
      </c>
      <c r="H25" s="5" t="n">
        <f aca="false">G25*E25</f>
        <v>128.02546</v>
      </c>
    </row>
    <row r="26" customFormat="false" ht="16" hidden="false" customHeight="true" outlineLevel="0" collapsed="false">
      <c r="A26" s="1" t="n">
        <v>100</v>
      </c>
      <c r="B26" s="1" t="s">
        <v>20</v>
      </c>
      <c r="C26" s="1" t="n">
        <v>105</v>
      </c>
      <c r="D26" s="1" t="n">
        <v>102.5</v>
      </c>
      <c r="E26" s="4" t="n">
        <f aca="false">EXP(-0.97-0.08*D26)</f>
        <v>0.00010411651</v>
      </c>
      <c r="F26" s="1"/>
      <c r="G26" s="5" t="n">
        <f aca="false">3.14*C26*C26*50-G25</f>
        <v>906675</v>
      </c>
      <c r="H26" s="5" t="n">
        <f aca="false">G26*E26</f>
        <v>94.399836</v>
      </c>
    </row>
    <row r="27" customFormat="false" ht="16" hidden="false" customHeight="true" outlineLevel="0" collapsed="false">
      <c r="A27" s="3" t="s">
        <v>19</v>
      </c>
      <c r="B27" s="3" t="s">
        <v>19</v>
      </c>
      <c r="C27" s="3" t="s">
        <v>19</v>
      </c>
      <c r="D27" s="3" t="s">
        <v>19</v>
      </c>
      <c r="E27" s="3" t="s">
        <v>19</v>
      </c>
      <c r="F27" s="3" t="s">
        <v>19</v>
      </c>
      <c r="G27" s="3" t="s">
        <v>19</v>
      </c>
      <c r="H27" s="3" t="s">
        <v>19</v>
      </c>
    </row>
    <row r="28" customFormat="false" ht="16" hidden="false" customHeight="true" outlineLevel="0" collapsed="false">
      <c r="A28" s="1" t="s">
        <v>22</v>
      </c>
      <c r="B28" s="1"/>
      <c r="C28" s="1"/>
      <c r="D28" s="1"/>
      <c r="E28" s="1"/>
      <c r="F28" s="1"/>
      <c r="G28" s="1" t="n">
        <f aca="false">SUM(G6:G26)</f>
        <v>6951175</v>
      </c>
      <c r="H28" s="5" t="n">
        <f aca="false">SUM(H6:H26)</f>
        <v>33744.248</v>
      </c>
    </row>
    <row r="29" customFormat="false" ht="16" hidden="false" customHeight="true" outlineLevel="0" collapsed="false"/>
    <row r="30" customFormat="false" ht="16" hidden="false" customHeight="true" outlineLevel="0" collapsed="false">
      <c r="A30" s="1"/>
      <c r="B30" s="1"/>
      <c r="C30" s="1"/>
      <c r="D30" s="1"/>
      <c r="E30" s="1"/>
      <c r="F30" s="1" t="s">
        <v>30</v>
      </c>
      <c r="G30" s="1"/>
      <c r="H30" s="5" t="n">
        <f aca="false">H28</f>
        <v>33744.248</v>
      </c>
    </row>
  </sheetData>
  <printOptions headings="false" gridLines="false" gridLinesSet="true" horizontalCentered="false" verticalCentered="false"/>
  <pageMargins left="1" right="1" top="1.7875" bottom="1.7875" header="1" footer="1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20" min="1" style="0" width="12.97"/>
  </cols>
  <sheetData/>
  <printOptions headings="false" gridLines="false" gridLinesSet="true" horizontalCentered="false" verticalCentered="false"/>
  <pageMargins left="1" right="1" top="1.7875" bottom="1.7875" header="1" footer="1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en-AU</dc:language>
  <cp:lastModifiedBy/>
  <cp:revision>0</cp:revision>
  <dc:subject/>
  <dc:title/>
</cp:coreProperties>
</file>